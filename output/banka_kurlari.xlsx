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.mm.yyyy"/>
    <numFmt numFmtId="166" formatCode="hh:mm:ss"/>
    <numFmt numFmtId="167" formatCode="#,##0.0000"/>
    <numFmt numFmtId="168" formatCode="0.00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1F4E78"/>
      <sz val="16"/>
    </font>
    <font>
      <b val="1"/>
      <color rgb="001F4E78"/>
    </font>
  </fonts>
  <fills count="4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CCACA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EACDCF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5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/>
    </xf>
    <xf numFmtId="0" fontId="2" fillId="3" borderId="0" pivotButton="0" quotePrefix="0" xfId="0"/>
    <xf numFmtId="167" fontId="0" fillId="0" borderId="0" pivotButton="0" quotePrefix="0" xfId="0"/>
    <xf numFmtId="10" fontId="0" fillId="0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applyAlignment="1" pivotButton="0" quotePrefix="0" xfId="0">
      <alignment horizontal="center" vertical="center"/>
    </xf>
    <xf numFmtId="0" fontId="3" fillId="0" borderId="0" applyAlignment="1" pivotButton="0" quotePrefix="0" xfId="1">
      <alignment vertical="top" wrapText="1"/>
    </xf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0" fontId="4" fillId="42" borderId="0" applyAlignment="1" pivotButton="0" quotePrefix="0" xfId="0">
      <alignment horizontal="center" vertical="center"/>
    </xf>
    <xf numFmtId="0" fontId="2" fillId="4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5" fillId="43" borderId="0" applyAlignment="1" pivotButton="0" quotePrefix="0" xfId="0">
      <alignment horizontal="center" vertical="center"/>
    </xf>
    <xf numFmtId="168" fontId="0" fillId="0" borderId="0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Zamana Göre En Düşük Makas % Değişimi</a:t>
            </a:r>
          </a:p>
        </rich>
      </tx>
    </title>
    <plotArea>
      <lineChart>
        <grouping val="standard"/>
        <ser>
          <idx val="0"/>
          <order val="0"/>
          <tx>
            <strRef>
              <f>'OZET'!B39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'OZET'!$A$40:$A$43</f>
            </numRef>
          </cat>
          <val>
            <numRef>
              <f>'OZET'!$B$40:$B$43</f>
            </numRef>
          </val>
        </ser>
        <ser>
          <idx val="1"/>
          <order val="1"/>
          <tx>
            <strRef>
              <f>'OZET'!C39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'OZET'!$A$40:$A$43</f>
            </numRef>
          </cat>
          <val>
            <numRef>
              <f>'OZET'!$C$40:$C$43</f>
            </numRef>
          </val>
        </ser>
        <ser>
          <idx val="2"/>
          <order val="2"/>
          <tx>
            <strRef>
              <f>'OZET'!D39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'OZET'!$A$40:$A$43</f>
            </numRef>
          </cat>
          <val>
            <numRef>
              <f>'OZET'!$D$40:$D$43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Çekim Zamanı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En Düşük Makas %</a:t>
                </a:r>
              </a:p>
            </rich>
          </tx>
        </title>
        <numFmt formatCode="0.00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GecmisTable" displayName="GecmisTable" ref="A1:N433" headerRowCount="1">
  <autoFilter ref="A1:N433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amerikan-dolari" TargetMode="External" Id="rId2" /><Relationship Type="http://schemas.openxmlformats.org/officeDocument/2006/relationships/hyperlink" Target="https://kur.doviz.com/serbest-piyasa/amerikan-dolari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kur.doviz.com/serbest-piyasa/euro" TargetMode="External" Id="rId6" /><Relationship Type="http://schemas.openxmlformats.org/officeDocument/2006/relationships/hyperlink" Target="https://kur.doviz.com/serbest-piyasa/euro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altin.doviz.com/gram-altin" TargetMode="External" Id="rId10" /><Relationship Type="http://schemas.openxmlformats.org/officeDocument/2006/relationships/hyperlink" Target="https://altin.doviz.com/gram-altin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amerikan-dolari" TargetMode="External" Id="rId14" /><Relationship Type="http://schemas.openxmlformats.org/officeDocument/2006/relationships/hyperlink" Target="https://kur.doviz.com/serbest-piyasa/amerikan-dolari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kur.doviz.com/serbest-piyasa/euro" TargetMode="External" Id="rId18" /><Relationship Type="http://schemas.openxmlformats.org/officeDocument/2006/relationships/hyperlink" Target="https://kur.doviz.com/serbest-piyasa/euro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altin.doviz.com/gram-altin" TargetMode="External" Id="rId22" /><Relationship Type="http://schemas.openxmlformats.org/officeDocument/2006/relationships/hyperlink" Target="https://altin.doviz.com/gram-altin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amerikan-dolari" TargetMode="External" Id="rId26" /><Relationship Type="http://schemas.openxmlformats.org/officeDocument/2006/relationships/hyperlink" Target="https://kur.doviz.com/serbest-piyasa/amerikan-dolari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kur.doviz.com/serbest-piyasa/euro" TargetMode="External" Id="rId30" /><Relationship Type="http://schemas.openxmlformats.org/officeDocument/2006/relationships/hyperlink" Target="https://kur.doviz.com/serbest-piyasa/euro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altin.doviz.com/gram-altin" TargetMode="External" Id="rId34" /><Relationship Type="http://schemas.openxmlformats.org/officeDocument/2006/relationships/hyperlink" Target="https://altin.doviz.com/gram-altin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amerikan-dolari" TargetMode="External" Id="rId38" /><Relationship Type="http://schemas.openxmlformats.org/officeDocument/2006/relationships/hyperlink" Target="https://kur.doviz.com/serbest-piyasa/amerikan-dolari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kur.doviz.com/serbest-piyasa/euro" TargetMode="External" Id="rId42" /><Relationship Type="http://schemas.openxmlformats.org/officeDocument/2006/relationships/hyperlink" Target="https://kur.doviz.com/serbest-piyasa/euro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altin.doviz.com/gram-altin" TargetMode="External" Id="rId46" /><Relationship Type="http://schemas.openxmlformats.org/officeDocument/2006/relationships/hyperlink" Target="https://altin.doviz.com/gram-altin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amerikan-dolari" TargetMode="External" Id="rId50" /><Relationship Type="http://schemas.openxmlformats.org/officeDocument/2006/relationships/hyperlink" Target="https://kur.doviz.com/serbest-piyasa/amerikan-dolari" TargetMode="External" Id="rId51" /><Relationship Type="http://schemas.openxmlformats.org/officeDocument/2006/relationships/hyperlink" Target="https://kur.doviz.com/serbest-piyasa/amerikan-dolari" TargetMode="External" Id="rId52" /><Relationship Type="http://schemas.openxmlformats.org/officeDocument/2006/relationships/hyperlink" Target="https://kur.doviz.com/serbest-piyasa/euro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kur.doviz.com/serbest-piyasa/euro" TargetMode="External" Id="rId55" /><Relationship Type="http://schemas.openxmlformats.org/officeDocument/2006/relationships/hyperlink" Target="https://kur.doviz.com/serbest-piyasa/euro" TargetMode="External" Id="rId56" /><Relationship Type="http://schemas.openxmlformats.org/officeDocument/2006/relationships/hyperlink" Target="https://altin.doviz.com/gram-altin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altin.doviz.com/gram-altin" TargetMode="External" Id="rId59" /><Relationship Type="http://schemas.openxmlformats.org/officeDocument/2006/relationships/hyperlink" Target="https://altin.doviz.com/gram-altin" TargetMode="External" Id="rId60" /><Relationship Type="http://schemas.openxmlformats.org/officeDocument/2006/relationships/hyperlink" Target="https://kur.doviz.com/serbest-piyasa/amerikan-dolari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amerikan-dolari" TargetMode="External" Id="rId63" /><Relationship Type="http://schemas.openxmlformats.org/officeDocument/2006/relationships/hyperlink" Target="https://kur.doviz.com/serbest-piyasa/amerikan-dolari" TargetMode="External" Id="rId64" /><Relationship Type="http://schemas.openxmlformats.org/officeDocument/2006/relationships/hyperlink" Target="https://kur.doviz.com/serbest-piyasa/euro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kur.doviz.com/serbest-piyasa/euro" TargetMode="External" Id="rId67" /><Relationship Type="http://schemas.openxmlformats.org/officeDocument/2006/relationships/hyperlink" Target="https://kur.doviz.com/serbest-piyasa/euro" TargetMode="External" Id="rId68" /><Relationship Type="http://schemas.openxmlformats.org/officeDocument/2006/relationships/hyperlink" Target="https://altin.doviz.com/gram-altin" TargetMode="External" Id="rId69" /><Relationship Type="http://schemas.openxmlformats.org/officeDocument/2006/relationships/hyperlink" Target="https://altin.doviz.com/gram-altin" TargetMode="External" Id="rId70" /><Relationship Type="http://schemas.openxmlformats.org/officeDocument/2006/relationships/hyperlink" Target="https://altin.doviz.com/gram-altin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amerikan-dolari" TargetMode="External" Id="rId74" /><Relationship Type="http://schemas.openxmlformats.org/officeDocument/2006/relationships/hyperlink" Target="https://kur.doviz.com/serbest-piyasa/amerikan-dolari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kur.doviz.com/serbest-piyasa/euro" TargetMode="External" Id="rId78" /><Relationship Type="http://schemas.openxmlformats.org/officeDocument/2006/relationships/hyperlink" Target="https://kur.doviz.com/serbest-piyasa/euro" TargetMode="External" Id="rId79" /><Relationship Type="http://schemas.openxmlformats.org/officeDocument/2006/relationships/hyperlink" Target="https://kur.doviz.com/serbest-piyasa/euro" TargetMode="External" Id="rId80" /><Relationship Type="http://schemas.openxmlformats.org/officeDocument/2006/relationships/hyperlink" Target="https://altin.doviz.com/gram-altin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altin.doviz.com/gram-altin" TargetMode="External" Id="rId83" /><Relationship Type="http://schemas.openxmlformats.org/officeDocument/2006/relationships/hyperlink" Target="https://altin.doviz.com/gram-altin" TargetMode="External" Id="rId84" /><Relationship Type="http://schemas.openxmlformats.org/officeDocument/2006/relationships/hyperlink" Target="https://kur.doviz.com/serbest-piyasa/amerikan-dolari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amerikan-dolari" TargetMode="External" Id="rId87" /><Relationship Type="http://schemas.openxmlformats.org/officeDocument/2006/relationships/hyperlink" Target="https://kur.doviz.com/serbest-piyasa/amerikan-dolari" TargetMode="External" Id="rId88" /><Relationship Type="http://schemas.openxmlformats.org/officeDocument/2006/relationships/hyperlink" Target="https://kur.doviz.com/serbest-piyasa/euro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kur.doviz.com/serbest-piyasa/euro" TargetMode="External" Id="rId91" /><Relationship Type="http://schemas.openxmlformats.org/officeDocument/2006/relationships/hyperlink" Target="https://kur.doviz.com/serbest-piyasa/euro" TargetMode="External" Id="rId92" /><Relationship Type="http://schemas.openxmlformats.org/officeDocument/2006/relationships/hyperlink" Target="https://altin.doviz.com/gram-altin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altin.doviz.com/gram-altin" TargetMode="External" Id="rId95" /><Relationship Type="http://schemas.openxmlformats.org/officeDocument/2006/relationships/hyperlink" Target="https://altin.doviz.com/gram-altin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amerikan-dolari" TargetMode="External" Id="rId98" /><Relationship Type="http://schemas.openxmlformats.org/officeDocument/2006/relationships/hyperlink" Target="https://kur.doviz.com/serbest-piyasa/amerikan-dolari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kur.doviz.com/serbest-piyasa/euro" TargetMode="External" Id="rId102" /><Relationship Type="http://schemas.openxmlformats.org/officeDocument/2006/relationships/hyperlink" Target="https://kur.doviz.com/serbest-piyasa/euro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altin.doviz.com/gram-altin" TargetMode="External" Id="rId106" /><Relationship Type="http://schemas.openxmlformats.org/officeDocument/2006/relationships/hyperlink" Target="https://altin.doviz.com/gram-altin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amerikan-dolari" TargetMode="External" Id="rId110" /><Relationship Type="http://schemas.openxmlformats.org/officeDocument/2006/relationships/hyperlink" Target="https://kur.doviz.com/serbest-piyasa/amerikan-dolari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kur.doviz.com/serbest-piyasa/euro" TargetMode="External" Id="rId114" /><Relationship Type="http://schemas.openxmlformats.org/officeDocument/2006/relationships/hyperlink" Target="https://kur.doviz.com/serbest-piyasa/euro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altin.doviz.com/gram-altin" TargetMode="External" Id="rId118" /><Relationship Type="http://schemas.openxmlformats.org/officeDocument/2006/relationships/hyperlink" Target="https://altin.doviz.com/gram-altin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amerikan-dolari" TargetMode="External" Id="rId122" /><Relationship Type="http://schemas.openxmlformats.org/officeDocument/2006/relationships/hyperlink" Target="https://kur.doviz.com/serbest-piyasa/amerikan-dolari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kur.doviz.com/serbest-piyasa/euro" TargetMode="External" Id="rId126" /><Relationship Type="http://schemas.openxmlformats.org/officeDocument/2006/relationships/hyperlink" Target="https://kur.doviz.com/serbest-piyasa/euro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altin.doviz.com/gram-altin" TargetMode="External" Id="rId130" /><Relationship Type="http://schemas.openxmlformats.org/officeDocument/2006/relationships/hyperlink" Target="https://altin.doviz.com/gram-altin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amerikan-dolari" TargetMode="External" Id="rId134" /><Relationship Type="http://schemas.openxmlformats.org/officeDocument/2006/relationships/hyperlink" Target="https://kur.doviz.com/serbest-piyasa/amerikan-dolari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kur.doviz.com/serbest-piyasa/euro" TargetMode="External" Id="rId138" /><Relationship Type="http://schemas.openxmlformats.org/officeDocument/2006/relationships/hyperlink" Target="https://kur.doviz.com/serbest-piyasa/euro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altin.doviz.com/gram-altin" TargetMode="External" Id="rId142" /><Relationship Type="http://schemas.openxmlformats.org/officeDocument/2006/relationships/hyperlink" Target="https://altin.doviz.com/gram-altin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amerikan-dolari" TargetMode="External" Id="rId146" /><Relationship Type="http://schemas.openxmlformats.org/officeDocument/2006/relationships/hyperlink" Target="https://kur.doviz.com/serbest-piyasa/amerikan-dolari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kur.doviz.com/serbest-piyasa/euro" TargetMode="External" Id="rId150" /><Relationship Type="http://schemas.openxmlformats.org/officeDocument/2006/relationships/hyperlink" Target="https://kur.doviz.com/serbest-piyasa/euro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altin.doviz.com/gram-altin" TargetMode="External" Id="rId154" /><Relationship Type="http://schemas.openxmlformats.org/officeDocument/2006/relationships/hyperlink" Target="https://altin.doviz.com/gram-altin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amerikan-dolari" TargetMode="External" Id="rId158" /><Relationship Type="http://schemas.openxmlformats.org/officeDocument/2006/relationships/hyperlink" Target="https://kur.doviz.com/serbest-piyasa/amerikan-dolari" TargetMode="External" Id="rId159" /><Relationship Type="http://schemas.openxmlformats.org/officeDocument/2006/relationships/hyperlink" Target="https://kur.doviz.com/serbest-piyasa/amerikan-dolari" TargetMode="External" Id="rId160" /><Relationship Type="http://schemas.openxmlformats.org/officeDocument/2006/relationships/hyperlink" Target="https://kur.doviz.com/serbest-piyasa/euro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kur.doviz.com/serbest-piyasa/euro" TargetMode="External" Id="rId163" /><Relationship Type="http://schemas.openxmlformats.org/officeDocument/2006/relationships/hyperlink" Target="https://kur.doviz.com/serbest-piyasa/euro" TargetMode="External" Id="rId164" /><Relationship Type="http://schemas.openxmlformats.org/officeDocument/2006/relationships/hyperlink" Target="https://altin.doviz.com/gram-altin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altin.doviz.com/gram-altin" TargetMode="External" Id="rId167" /><Relationship Type="http://schemas.openxmlformats.org/officeDocument/2006/relationships/hyperlink" Target="https://altin.doviz.com/gram-altin" TargetMode="External" Id="rId168" /><Relationship Type="http://schemas.openxmlformats.org/officeDocument/2006/relationships/hyperlink" Target="https://kur.doviz.com/serbest-piyasa/amerikan-dolari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amerikan-dolari" TargetMode="External" Id="rId171" /><Relationship Type="http://schemas.openxmlformats.org/officeDocument/2006/relationships/hyperlink" Target="https://kur.doviz.com/serbest-piyasa/amerikan-dolari" TargetMode="External" Id="rId172" /><Relationship Type="http://schemas.openxmlformats.org/officeDocument/2006/relationships/hyperlink" Target="https://kur.doviz.com/serbest-piyasa/euro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kur.doviz.com/serbest-piyasa/euro" TargetMode="External" Id="rId175" /><Relationship Type="http://schemas.openxmlformats.org/officeDocument/2006/relationships/hyperlink" Target="https://kur.doviz.com/serbest-piyasa/euro" TargetMode="External" Id="rId176" /><Relationship Type="http://schemas.openxmlformats.org/officeDocument/2006/relationships/hyperlink" Target="https://altin.doviz.com/gram-altin" TargetMode="External" Id="rId177" /><Relationship Type="http://schemas.openxmlformats.org/officeDocument/2006/relationships/hyperlink" Target="https://altin.doviz.com/gram-altin" TargetMode="External" Id="rId178" /><Relationship Type="http://schemas.openxmlformats.org/officeDocument/2006/relationships/hyperlink" Target="https://altin.doviz.com/gram-altin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amerikan-dolari" TargetMode="External" Id="rId182" /><Relationship Type="http://schemas.openxmlformats.org/officeDocument/2006/relationships/hyperlink" Target="https://kur.doviz.com/serbest-piyasa/amerikan-dolari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kur.doviz.com/serbest-piyasa/euro" TargetMode="External" Id="rId186" /><Relationship Type="http://schemas.openxmlformats.org/officeDocument/2006/relationships/hyperlink" Target="https://kur.doviz.com/serbest-piyasa/euro" TargetMode="External" Id="rId187" /><Relationship Type="http://schemas.openxmlformats.org/officeDocument/2006/relationships/hyperlink" Target="https://kur.doviz.com/serbest-piyasa/euro" TargetMode="External" Id="rId188" /><Relationship Type="http://schemas.openxmlformats.org/officeDocument/2006/relationships/hyperlink" Target="https://altin.doviz.com/gram-altin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altin.doviz.com/gram-altin" TargetMode="External" Id="rId191" /><Relationship Type="http://schemas.openxmlformats.org/officeDocument/2006/relationships/hyperlink" Target="https://altin.doviz.com/gram-altin" TargetMode="External" Id="rId192" /><Relationship Type="http://schemas.openxmlformats.org/officeDocument/2006/relationships/hyperlink" Target="https://kur.doviz.com/serbest-piyasa/amerikan-dolari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amerikan-dolari" TargetMode="External" Id="rId195" /><Relationship Type="http://schemas.openxmlformats.org/officeDocument/2006/relationships/hyperlink" Target="https://kur.doviz.com/serbest-piyasa/amerikan-dolari" TargetMode="External" Id="rId196" /><Relationship Type="http://schemas.openxmlformats.org/officeDocument/2006/relationships/hyperlink" Target="https://kur.doviz.com/serbest-piyasa/euro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kur.doviz.com/serbest-piyasa/euro" TargetMode="External" Id="rId199" /><Relationship Type="http://schemas.openxmlformats.org/officeDocument/2006/relationships/hyperlink" Target="https://kur.doviz.com/serbest-piyasa/euro" TargetMode="External" Id="rId200" /><Relationship Type="http://schemas.openxmlformats.org/officeDocument/2006/relationships/hyperlink" Target="https://altin.doviz.com/gram-altin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altin.doviz.com/gram-altin" TargetMode="External" Id="rId203" /><Relationship Type="http://schemas.openxmlformats.org/officeDocument/2006/relationships/hyperlink" Target="https://altin.doviz.com/gram-altin" TargetMode="External" Id="rId204" /><Relationship Type="http://schemas.openxmlformats.org/officeDocument/2006/relationships/hyperlink" Target="https://altin.doviz.com/gram-altin" TargetMode="External" Id="rId205" /><Relationship Type="http://schemas.openxmlformats.org/officeDocument/2006/relationships/hyperlink" Target="https://altin.doviz.com/gram-altin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altin.doviz.com/gram-altin" TargetMode="External" Id="rId208" /><Relationship Type="http://schemas.openxmlformats.org/officeDocument/2006/relationships/hyperlink" Target="https://kur.doviz.com/serbest-piyasa/amerikan-dolari" TargetMode="External" Id="rId209" /><Relationship Type="http://schemas.openxmlformats.org/officeDocument/2006/relationships/hyperlink" Target="https://kur.doviz.com/serbest-piyasa/amerikan-dolari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amerikan-dolari" TargetMode="External" Id="rId212" /><Relationship Type="http://schemas.openxmlformats.org/officeDocument/2006/relationships/hyperlink" Target="https://kur.doviz.com/serbest-piyasa/euro" TargetMode="External" Id="rId213" /><Relationship Type="http://schemas.openxmlformats.org/officeDocument/2006/relationships/hyperlink" Target="https://kur.doviz.com/serbest-piyasa/euro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kur.doviz.com/serbest-piyasa/euro" TargetMode="External" Id="rId216" /><Relationship Type="http://schemas.openxmlformats.org/officeDocument/2006/relationships/hyperlink" Target="https://altin.doviz.com/gram-altin" TargetMode="External" Id="rId217" /><Relationship Type="http://schemas.openxmlformats.org/officeDocument/2006/relationships/hyperlink" Target="https://altin.doviz.com/gram-altin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altin.doviz.com/gram-altin" TargetMode="External" Id="rId220" /><Relationship Type="http://schemas.openxmlformats.org/officeDocument/2006/relationships/hyperlink" Target="https://kur.doviz.com/serbest-piyasa/amerikan-dolari" TargetMode="External" Id="rId221" /><Relationship Type="http://schemas.openxmlformats.org/officeDocument/2006/relationships/hyperlink" Target="https://kur.doviz.com/serbest-piyasa/amerikan-dolari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amerikan-dolari" TargetMode="External" Id="rId224" /><Relationship Type="http://schemas.openxmlformats.org/officeDocument/2006/relationships/hyperlink" Target="https://kur.doviz.com/serbest-piyasa/euro" TargetMode="External" Id="rId225" /><Relationship Type="http://schemas.openxmlformats.org/officeDocument/2006/relationships/hyperlink" Target="https://kur.doviz.com/serbest-piyasa/euro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kur.doviz.com/serbest-piyasa/euro" TargetMode="External" Id="rId228" /><Relationship Type="http://schemas.openxmlformats.org/officeDocument/2006/relationships/hyperlink" Target="https://altin.doviz.com/gram-altin" TargetMode="External" Id="rId229" /><Relationship Type="http://schemas.openxmlformats.org/officeDocument/2006/relationships/hyperlink" Target="https://altin.doviz.com/gram-altin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altin.doviz.com/gram-altin" TargetMode="External" Id="rId232" /><Relationship Type="http://schemas.openxmlformats.org/officeDocument/2006/relationships/hyperlink" Target="https://kur.doviz.com/serbest-piyasa/amerikan-dolari" TargetMode="External" Id="rId233" /><Relationship Type="http://schemas.openxmlformats.org/officeDocument/2006/relationships/hyperlink" Target="https://kur.doviz.com/serbest-piyasa/amerikan-dolari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amerikan-dolari" TargetMode="External" Id="rId236" /><Relationship Type="http://schemas.openxmlformats.org/officeDocument/2006/relationships/hyperlink" Target="https://kur.doviz.com/serbest-piyasa/euro" TargetMode="External" Id="rId237" /><Relationship Type="http://schemas.openxmlformats.org/officeDocument/2006/relationships/hyperlink" Target="https://kur.doviz.com/serbest-piyasa/euro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kur.doviz.com/serbest-piyasa/euro" TargetMode="External" Id="rId240" /><Relationship Type="http://schemas.openxmlformats.org/officeDocument/2006/relationships/hyperlink" Target="https://altin.doviz.com/gram-altin" TargetMode="External" Id="rId241" /><Relationship Type="http://schemas.openxmlformats.org/officeDocument/2006/relationships/hyperlink" Target="https://altin.doviz.com/gram-altin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altin.doviz.com/gram-altin" TargetMode="External" Id="rId244" /><Relationship Type="http://schemas.openxmlformats.org/officeDocument/2006/relationships/hyperlink" Target="https://kur.doviz.com/serbest-piyasa/amerikan-dolari" TargetMode="External" Id="rId245" /><Relationship Type="http://schemas.openxmlformats.org/officeDocument/2006/relationships/hyperlink" Target="https://kur.doviz.com/serbest-piyasa/amerikan-dolari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amerikan-dolari" TargetMode="External" Id="rId248" /><Relationship Type="http://schemas.openxmlformats.org/officeDocument/2006/relationships/hyperlink" Target="https://kur.doviz.com/serbest-piyasa/euro" TargetMode="External" Id="rId249" /><Relationship Type="http://schemas.openxmlformats.org/officeDocument/2006/relationships/hyperlink" Target="https://kur.doviz.com/serbest-piyasa/euro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kur.doviz.com/serbest-piyasa/euro" TargetMode="External" Id="rId252" /><Relationship Type="http://schemas.openxmlformats.org/officeDocument/2006/relationships/hyperlink" Target="https://altin.doviz.com/gram-altin" TargetMode="External" Id="rId253" /><Relationship Type="http://schemas.openxmlformats.org/officeDocument/2006/relationships/hyperlink" Target="https://altin.doviz.com/gram-altin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altin.doviz.com/gram-altin" TargetMode="External" Id="rId256" /><Relationship Type="http://schemas.openxmlformats.org/officeDocument/2006/relationships/hyperlink" Target="https://kur.doviz.com/serbest-piyasa/amerikan-dolari" TargetMode="External" Id="rId257" /><Relationship Type="http://schemas.openxmlformats.org/officeDocument/2006/relationships/hyperlink" Target="https://kur.doviz.com/serbest-piyasa/amerikan-dolari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amerikan-dolari" TargetMode="External" Id="rId260" /><Relationship Type="http://schemas.openxmlformats.org/officeDocument/2006/relationships/hyperlink" Target="https://kur.doviz.com/serbest-piyasa/euro" TargetMode="External" Id="rId261" /><Relationship Type="http://schemas.openxmlformats.org/officeDocument/2006/relationships/hyperlink" Target="https://kur.doviz.com/serbest-piyasa/euro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kur.doviz.com/serbest-piyasa/euro" TargetMode="External" Id="rId264" /><Relationship Type="http://schemas.openxmlformats.org/officeDocument/2006/relationships/hyperlink" Target="https://altin.doviz.com/gram-altin" TargetMode="External" Id="rId265" /><Relationship Type="http://schemas.openxmlformats.org/officeDocument/2006/relationships/hyperlink" Target="https://altin.doviz.com/gram-altin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amerikan-dolari" TargetMode="External" Id="rId270" /><Relationship Type="http://schemas.openxmlformats.org/officeDocument/2006/relationships/hyperlink" Target="https://kur.doviz.com/serbest-piyasa/amerikan-dolari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kur.doviz.com/serbest-piyasa/euro" TargetMode="External" Id="rId274" /><Relationship Type="http://schemas.openxmlformats.org/officeDocument/2006/relationships/hyperlink" Target="https://kur.doviz.com/serbest-piyasa/euro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kur.doviz.com/serbest-piyasa/amerikan-dolari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amerikan-dolari" TargetMode="External" Id="rId279" /><Relationship Type="http://schemas.openxmlformats.org/officeDocument/2006/relationships/hyperlink" Target="https://kur.doviz.com/serbest-piyasa/amerikan-dolari" TargetMode="External" Id="rId280" /><Relationship Type="http://schemas.openxmlformats.org/officeDocument/2006/relationships/hyperlink" Target="https://kur.doviz.com/serbest-piyasa/euro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kur.doviz.com/serbest-piyasa/euro" TargetMode="External" Id="rId283" /><Relationship Type="http://schemas.openxmlformats.org/officeDocument/2006/relationships/hyperlink" Target="https://kur.doviz.com/serbest-piyasa/euro" TargetMode="External" Id="rId284" /><Relationship Type="http://schemas.openxmlformats.org/officeDocument/2006/relationships/hyperlink" Target="https://altin.doviz.com/gram-altin" TargetMode="External" Id="rId285" /><Relationship Type="http://schemas.openxmlformats.org/officeDocument/2006/relationships/hyperlink" Target="https://altin.doviz.com/gram-altin" TargetMode="External" Id="rId286" /><Relationship Type="http://schemas.openxmlformats.org/officeDocument/2006/relationships/hyperlink" Target="https://altin.doviz.com/gram-altin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amerikan-dolari" TargetMode="External" Id="rId290" /><Relationship Type="http://schemas.openxmlformats.org/officeDocument/2006/relationships/hyperlink" Target="https://kur.doviz.com/serbest-piyasa/amerikan-dolari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kur.doviz.com/serbest-piyasa/euro" TargetMode="External" Id="rId294" /><Relationship Type="http://schemas.openxmlformats.org/officeDocument/2006/relationships/hyperlink" Target="https://kur.doviz.com/serbest-piyasa/euro" TargetMode="External" Id="rId295" /><Relationship Type="http://schemas.openxmlformats.org/officeDocument/2006/relationships/hyperlink" Target="https://kur.doviz.com/serbest-piyasa/euro" TargetMode="External" Id="rId296" /><Relationship Type="http://schemas.openxmlformats.org/officeDocument/2006/relationships/hyperlink" Target="https://altin.doviz.com/gram-altin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altin.doviz.com/gram-altin" TargetMode="External" Id="rId299" /><Relationship Type="http://schemas.openxmlformats.org/officeDocument/2006/relationships/hyperlink" Target="https://altin.doviz.com/gram-altin" TargetMode="External" Id="rId300" /><Relationship Type="http://schemas.openxmlformats.org/officeDocument/2006/relationships/hyperlink" Target="https://kur.doviz.com/serbest-piyasa/amerikan-dolari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amerikan-dolari" TargetMode="External" Id="rId303" /><Relationship Type="http://schemas.openxmlformats.org/officeDocument/2006/relationships/hyperlink" Target="https://kur.doviz.com/serbest-piyasa/amerikan-dolari" TargetMode="External" Id="rId304" /><Relationship Type="http://schemas.openxmlformats.org/officeDocument/2006/relationships/hyperlink" Target="https://kur.doviz.com/serbest-piyasa/euro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kur.doviz.com/serbest-piyasa/euro" TargetMode="External" Id="rId307" /><Relationship Type="http://schemas.openxmlformats.org/officeDocument/2006/relationships/hyperlink" Target="https://kur.doviz.com/serbest-piyasa/euro" TargetMode="External" Id="rId308" /><Relationship Type="http://schemas.openxmlformats.org/officeDocument/2006/relationships/hyperlink" Target="https://altin.doviz.com/gram-altin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altin.doviz.com/gram-altin" TargetMode="External" Id="rId311" /><Relationship Type="http://schemas.openxmlformats.org/officeDocument/2006/relationships/hyperlink" Target="https://altin.doviz.com/gram-altin" TargetMode="External" Id="rId312" /><Relationship Type="http://schemas.openxmlformats.org/officeDocument/2006/relationships/hyperlink" Target="https://altin.doviz.com/gram-altin" TargetMode="External" Id="rId313" /><Relationship Type="http://schemas.openxmlformats.org/officeDocument/2006/relationships/hyperlink" Target="https://altin.doviz.com/gram-altin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altin.doviz.com/gram-altin" TargetMode="External" Id="rId316" /><Relationship Type="http://schemas.openxmlformats.org/officeDocument/2006/relationships/hyperlink" Target="https://kur.doviz.com/serbest-piyasa/amerikan-dolari" TargetMode="External" Id="rId317" /><Relationship Type="http://schemas.openxmlformats.org/officeDocument/2006/relationships/hyperlink" Target="https://kur.doviz.com/serbest-piyasa/amerikan-dolari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amerikan-dolari" TargetMode="External" Id="rId320" /><Relationship Type="http://schemas.openxmlformats.org/officeDocument/2006/relationships/hyperlink" Target="https://kur.doviz.com/serbest-piyasa/euro" TargetMode="External" Id="rId321" /><Relationship Type="http://schemas.openxmlformats.org/officeDocument/2006/relationships/hyperlink" Target="https://kur.doviz.com/serbest-piyasa/euro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kur.doviz.com/serbest-piyasa/euro" TargetMode="External" Id="rId324" /><Relationship Type="http://schemas.openxmlformats.org/officeDocument/2006/relationships/hyperlink" Target="https://altin.doviz.com/gram-altin" TargetMode="External" Id="rId325" /><Relationship Type="http://schemas.openxmlformats.org/officeDocument/2006/relationships/hyperlink" Target="https://altin.doviz.com/gram-altin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altin.doviz.com/gram-altin" TargetMode="External" Id="rId328" /><Relationship Type="http://schemas.openxmlformats.org/officeDocument/2006/relationships/hyperlink" Target="https://kur.doviz.com/serbest-piyasa/amerikan-dolari" TargetMode="External" Id="rId329" /><Relationship Type="http://schemas.openxmlformats.org/officeDocument/2006/relationships/hyperlink" Target="https://kur.doviz.com/serbest-piyasa/amerikan-dolari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amerikan-dolari" TargetMode="External" Id="rId332" /><Relationship Type="http://schemas.openxmlformats.org/officeDocument/2006/relationships/hyperlink" Target="https://kur.doviz.com/serbest-piyasa/euro" TargetMode="External" Id="rId333" /><Relationship Type="http://schemas.openxmlformats.org/officeDocument/2006/relationships/hyperlink" Target="https://kur.doviz.com/serbest-piyasa/euro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kur.doviz.com/serbest-piyasa/euro" TargetMode="External" Id="rId336" /><Relationship Type="http://schemas.openxmlformats.org/officeDocument/2006/relationships/hyperlink" Target="https://altin.doviz.com/gram-altin" TargetMode="External" Id="rId337" /><Relationship Type="http://schemas.openxmlformats.org/officeDocument/2006/relationships/hyperlink" Target="https://altin.doviz.com/gram-altin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altin.doviz.com/gram-altin" TargetMode="External" Id="rId340" /><Relationship Type="http://schemas.openxmlformats.org/officeDocument/2006/relationships/hyperlink" Target="https://kur.doviz.com/serbest-piyasa/amerikan-dolari" TargetMode="External" Id="rId341" /><Relationship Type="http://schemas.openxmlformats.org/officeDocument/2006/relationships/hyperlink" Target="https://kur.doviz.com/serbest-piyasa/amerikan-dolari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amerikan-dolari" TargetMode="External" Id="rId344" /><Relationship Type="http://schemas.openxmlformats.org/officeDocument/2006/relationships/hyperlink" Target="https://kur.doviz.com/serbest-piyasa/euro" TargetMode="External" Id="rId345" /><Relationship Type="http://schemas.openxmlformats.org/officeDocument/2006/relationships/hyperlink" Target="https://kur.doviz.com/serbest-piyasa/euro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kur.doviz.com/serbest-piyasa/euro" TargetMode="External" Id="rId348" /><Relationship Type="http://schemas.openxmlformats.org/officeDocument/2006/relationships/hyperlink" Target="https://altin.doviz.com/gram-altin" TargetMode="External" Id="rId349" /><Relationship Type="http://schemas.openxmlformats.org/officeDocument/2006/relationships/hyperlink" Target="https://altin.doviz.com/gram-altin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altin.doviz.com/gram-altin" TargetMode="External" Id="rId352" /><Relationship Type="http://schemas.openxmlformats.org/officeDocument/2006/relationships/hyperlink" Target="https://kur.doviz.com/serbest-piyasa/amerikan-dolari" TargetMode="External" Id="rId353" /><Relationship Type="http://schemas.openxmlformats.org/officeDocument/2006/relationships/hyperlink" Target="https://kur.doviz.com/serbest-piyasa/amerikan-dolari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amerikan-dolari" TargetMode="External" Id="rId356" /><Relationship Type="http://schemas.openxmlformats.org/officeDocument/2006/relationships/hyperlink" Target="https://kur.doviz.com/serbest-piyasa/euro" TargetMode="External" Id="rId357" /><Relationship Type="http://schemas.openxmlformats.org/officeDocument/2006/relationships/hyperlink" Target="https://kur.doviz.com/serbest-piyasa/euro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kur.doviz.com/serbest-piyasa/euro" TargetMode="External" Id="rId360" /><Relationship Type="http://schemas.openxmlformats.org/officeDocument/2006/relationships/hyperlink" Target="https://altin.doviz.com/gram-altin" TargetMode="External" Id="rId361" /><Relationship Type="http://schemas.openxmlformats.org/officeDocument/2006/relationships/hyperlink" Target="https://altin.doviz.com/gram-altin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altin.doviz.com/gram-altin" TargetMode="External" Id="rId364" /><Relationship Type="http://schemas.openxmlformats.org/officeDocument/2006/relationships/hyperlink" Target="https://kur.doviz.com/serbest-piyasa/amerikan-dolari" TargetMode="External" Id="rId365" /><Relationship Type="http://schemas.openxmlformats.org/officeDocument/2006/relationships/hyperlink" Target="https://kur.doviz.com/serbest-piyasa/amerikan-dolari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amerikan-dolari" TargetMode="External" Id="rId368" /><Relationship Type="http://schemas.openxmlformats.org/officeDocument/2006/relationships/hyperlink" Target="https://kur.doviz.com/serbest-piyasa/euro" TargetMode="External" Id="rId369" /><Relationship Type="http://schemas.openxmlformats.org/officeDocument/2006/relationships/hyperlink" Target="https://kur.doviz.com/serbest-piyasa/euro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kur.doviz.com/serbest-piyasa/euro" TargetMode="External" Id="rId372" /><Relationship Type="http://schemas.openxmlformats.org/officeDocument/2006/relationships/hyperlink" Target="https://altin.doviz.com/gram-altin" TargetMode="External" Id="rId373" /><Relationship Type="http://schemas.openxmlformats.org/officeDocument/2006/relationships/hyperlink" Target="https://altin.doviz.com/gram-altin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amerikan-dolari" TargetMode="External" Id="rId378" /><Relationship Type="http://schemas.openxmlformats.org/officeDocument/2006/relationships/hyperlink" Target="https://kur.doviz.com/serbest-piyasa/amerikan-dolari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kur.doviz.com/serbest-piyasa/euro" TargetMode="External" Id="rId382" /><Relationship Type="http://schemas.openxmlformats.org/officeDocument/2006/relationships/hyperlink" Target="https://kur.doviz.com/serbest-piyasa/euro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kur.doviz.com/serbest-piyasa/amerikan-dolari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amerikan-dolari" TargetMode="External" Id="rId387" /><Relationship Type="http://schemas.openxmlformats.org/officeDocument/2006/relationships/hyperlink" Target="https://kur.doviz.com/serbest-piyasa/amerikan-dolari" TargetMode="External" Id="rId388" /><Relationship Type="http://schemas.openxmlformats.org/officeDocument/2006/relationships/hyperlink" Target="https://kur.doviz.com/serbest-piyasa/euro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kur.doviz.com/serbest-piyasa/euro" TargetMode="External" Id="rId391" /><Relationship Type="http://schemas.openxmlformats.org/officeDocument/2006/relationships/hyperlink" Target="https://kur.doviz.com/serbest-piyasa/euro" TargetMode="External" Id="rId392" /><Relationship Type="http://schemas.openxmlformats.org/officeDocument/2006/relationships/hyperlink" Target="https://altin.doviz.com/gram-altin" TargetMode="External" Id="rId393" /><Relationship Type="http://schemas.openxmlformats.org/officeDocument/2006/relationships/hyperlink" Target="https://altin.doviz.com/gram-altin" TargetMode="External" Id="rId394" /><Relationship Type="http://schemas.openxmlformats.org/officeDocument/2006/relationships/hyperlink" Target="https://altin.doviz.com/gram-altin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amerikan-dolari" TargetMode="External" Id="rId398" /><Relationship Type="http://schemas.openxmlformats.org/officeDocument/2006/relationships/hyperlink" Target="https://kur.doviz.com/serbest-piyasa/amerikan-dolari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kur.doviz.com/serbest-piyasa/euro" TargetMode="External" Id="rId402" /><Relationship Type="http://schemas.openxmlformats.org/officeDocument/2006/relationships/hyperlink" Target="https://kur.doviz.com/serbest-piyasa/euro" TargetMode="External" Id="rId403" /><Relationship Type="http://schemas.openxmlformats.org/officeDocument/2006/relationships/hyperlink" Target="https://kur.doviz.com/serbest-piyasa/euro" TargetMode="External" Id="rId404" /><Relationship Type="http://schemas.openxmlformats.org/officeDocument/2006/relationships/hyperlink" Target="https://altin.doviz.com/gram-altin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altin.doviz.com/gram-altin" TargetMode="External" Id="rId407" /><Relationship Type="http://schemas.openxmlformats.org/officeDocument/2006/relationships/hyperlink" Target="https://altin.doviz.com/gram-altin" TargetMode="External" Id="rId408" /><Relationship Type="http://schemas.openxmlformats.org/officeDocument/2006/relationships/hyperlink" Target="https://kur.doviz.com/serbest-piyasa/amerikan-dolari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amerikan-dolari" TargetMode="External" Id="rId411" /><Relationship Type="http://schemas.openxmlformats.org/officeDocument/2006/relationships/hyperlink" Target="https://kur.doviz.com/serbest-piyasa/amerikan-dolari" TargetMode="External" Id="rId412" /><Relationship Type="http://schemas.openxmlformats.org/officeDocument/2006/relationships/hyperlink" Target="https://kur.doviz.com/serbest-piyasa/euro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kur.doviz.com/serbest-piyasa/euro" TargetMode="External" Id="rId415" /><Relationship Type="http://schemas.openxmlformats.org/officeDocument/2006/relationships/hyperlink" Target="https://kur.doviz.com/serbest-piyasa/euro" TargetMode="External" Id="rId416" /><Relationship Type="http://schemas.openxmlformats.org/officeDocument/2006/relationships/hyperlink" Target="https://altin.doviz.com/gram-altin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altin.doviz.com/gram-altin" TargetMode="External" Id="rId419" /><Relationship Type="http://schemas.openxmlformats.org/officeDocument/2006/relationships/hyperlink" Target="https://altin.doviz.com/gram-altin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amerikan-dolari" TargetMode="External" Id="rId422" /><Relationship Type="http://schemas.openxmlformats.org/officeDocument/2006/relationships/hyperlink" Target="https://kur.doviz.com/serbest-piyasa/amerikan-dolari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kur.doviz.com/serbest-piyasa/euro" TargetMode="External" Id="rId426" /><Relationship Type="http://schemas.openxmlformats.org/officeDocument/2006/relationships/hyperlink" Target="https://kur.doviz.com/serbest-piyasa/euro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altin.doviz.com/gram-altin" TargetMode="External" Id="rId430" /><Relationship Type="http://schemas.openxmlformats.org/officeDocument/2006/relationships/hyperlink" Target="https://altin.doviz.com/gram-altin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table" Target="/xl/tables/table2.xml" Id="rId43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Dolar Alış</t>
        </is>
      </c>
      <c r="E1" s="1" t="inlineStr">
        <is>
          <t>Dolar Satış</t>
        </is>
      </c>
      <c r="F1" s="1" t="inlineStr">
        <is>
          <t>Dolar Makas</t>
        </is>
      </c>
      <c r="G1" s="1" t="inlineStr">
        <is>
          <t>Dolar Makas %</t>
        </is>
      </c>
      <c r="H1" s="1" t="inlineStr">
        <is>
          <t>Euro Alış</t>
        </is>
      </c>
      <c r="I1" s="1" t="inlineStr">
        <is>
          <t>Euro Satış</t>
        </is>
      </c>
      <c r="J1" s="1" t="inlineStr">
        <is>
          <t>Euro Makas</t>
        </is>
      </c>
      <c r="K1" s="1" t="inlineStr">
        <is>
          <t>Euro Makas %</t>
        </is>
      </c>
      <c r="L1" s="1" t="inlineStr">
        <is>
          <t>Gram Altın Alış</t>
        </is>
      </c>
      <c r="M1" s="1" t="inlineStr">
        <is>
          <t>Gram Altın Satış</t>
        </is>
      </c>
      <c r="N1" s="1" t="inlineStr">
        <is>
          <t>Gram Altın Makas</t>
        </is>
      </c>
      <c r="O1" s="1" t="inlineStr">
        <is>
          <t>Gram Altın Makas %</t>
        </is>
      </c>
    </row>
    <row r="2">
      <c r="A2" s="2" t="n">
        <v>46262</v>
      </c>
      <c r="B2" s="3" t="n">
        <v>0.6194560185185185</v>
      </c>
      <c r="C2" s="4" t="inlineStr">
        <is>
          <t>Akbank</t>
        </is>
      </c>
      <c r="D2" s="5" t="n">
        <v>47.354</v>
      </c>
      <c r="E2" s="5" t="n">
        <v>48.704</v>
      </c>
      <c r="F2" s="5">
        <f>IF(OR(D2="",E2=""),"",E2-D2)</f>
        <v/>
      </c>
      <c r="G2" s="6">
        <f>IFERROR(F2/D2,"")</f>
        <v/>
      </c>
      <c r="H2" s="5" t="n">
        <v>55.144</v>
      </c>
      <c r="I2" s="5" t="n">
        <v>56.7209</v>
      </c>
      <c r="J2" s="5">
        <f>IF(OR(H2="",I2=""),"",I2-H2)</f>
        <v/>
      </c>
      <c r="K2" s="6">
        <f>IFERROR(J2/H2,"")</f>
        <v/>
      </c>
      <c r="L2" s="5" t="n">
        <v>6925.18</v>
      </c>
      <c r="M2" s="5" t="n">
        <v>7176.14</v>
      </c>
      <c r="N2" s="5">
        <f>IF(OR(L2="",M2=""),"",M2-L2)</f>
        <v/>
      </c>
      <c r="O2" s="6">
        <f>IFERROR(N2/L2,"")</f>
        <v/>
      </c>
    </row>
    <row r="3">
      <c r="A3" s="2" t="n">
        <v>46262</v>
      </c>
      <c r="B3" s="3" t="n">
        <v>0.6194560185185185</v>
      </c>
      <c r="C3" s="7" t="inlineStr">
        <is>
          <t>Albaraka Türk</t>
        </is>
      </c>
      <c r="D3" s="5" t="n">
        <v>47.844</v>
      </c>
      <c r="E3" s="5" t="n">
        <v>48.625</v>
      </c>
      <c r="F3" s="5">
        <f>IF(OR(D3="",E3=""),"",E3-D3)</f>
        <v/>
      </c>
      <c r="G3" s="6">
        <f>IFERROR(F3/D3,"")</f>
        <v/>
      </c>
      <c r="H3" s="5" t="n">
        <v>55.714</v>
      </c>
      <c r="I3" s="5" t="n">
        <v>56.634</v>
      </c>
      <c r="J3" s="5">
        <f>IF(OR(H3="",I3=""),"",I3-H3)</f>
        <v/>
      </c>
      <c r="K3" s="6">
        <f>IFERROR(J3/H3,"")</f>
        <v/>
      </c>
      <c r="L3" s="5" t="n">
        <v>7017.4</v>
      </c>
      <c r="M3" s="5" t="n">
        <v>7161.54</v>
      </c>
      <c r="N3" s="5">
        <f>IF(OR(L3="",M3=""),"",M3-L3)</f>
        <v/>
      </c>
      <c r="O3" s="6">
        <f>IFERROR(N3/L3,"")</f>
        <v/>
      </c>
    </row>
    <row r="4">
      <c r="A4" s="2" t="n">
        <v>46262</v>
      </c>
      <c r="B4" s="3" t="n">
        <v>0.6194560185185185</v>
      </c>
      <c r="C4" s="8" t="inlineStr">
        <is>
          <t>Alternatif Bank</t>
        </is>
      </c>
      <c r="D4" s="5" t="n">
        <v>48.028</v>
      </c>
      <c r="E4" s="5" t="n">
        <v>48.322</v>
      </c>
      <c r="F4" s="5">
        <f>IF(OR(D4="",E4=""),"",E4-D4)</f>
        <v/>
      </c>
      <c r="G4" s="6">
        <f>IFERROR(F4/D4,"")</f>
        <v/>
      </c>
      <c r="H4" s="5" t="n">
        <v>55.759</v>
      </c>
      <c r="I4" s="5" t="n">
        <v>56.276</v>
      </c>
      <c r="J4" s="5">
        <f>IF(OR(H4="",I4=""),"",I4-H4)</f>
        <v/>
      </c>
      <c r="K4" s="6">
        <f>IFERROR(J4/H4,"")</f>
        <v/>
      </c>
      <c r="L4" s="5" t="n">
        <v>7082.42</v>
      </c>
      <c r="M4" s="5" t="n">
        <v>7153.96</v>
      </c>
      <c r="N4" s="5">
        <f>IF(OR(L4="",M4=""),"",M4-L4)</f>
        <v/>
      </c>
      <c r="O4" s="6">
        <f>IFERROR(N4/L4,"")</f>
        <v/>
      </c>
    </row>
    <row r="5">
      <c r="A5" s="2" t="n">
        <v>46262</v>
      </c>
      <c r="B5" s="3" t="n">
        <v>0.6194560185185185</v>
      </c>
      <c r="C5" s="9" t="inlineStr">
        <is>
          <t>Altınkaynak</t>
        </is>
      </c>
      <c r="D5" s="5" t="n">
        <v>47.981</v>
      </c>
      <c r="E5" s="5" t="n">
        <v>48.18</v>
      </c>
      <c r="F5" s="5">
        <f>IF(OR(D5="",E5=""),"",E5-D5)</f>
        <v/>
      </c>
      <c r="G5" s="6">
        <f>IFERROR(F5/D5,"")</f>
        <v/>
      </c>
      <c r="H5" s="5" t="n">
        <v>55.762</v>
      </c>
      <c r="I5" s="5" t="n">
        <v>56.105</v>
      </c>
      <c r="J5" s="5">
        <f>IF(OR(H5="",I5=""),"",I5-H5)</f>
        <v/>
      </c>
      <c r="K5" s="6">
        <f>IFERROR(J5/H5,"")</f>
        <v/>
      </c>
      <c r="L5" s="5" t="n">
        <v>6985.76</v>
      </c>
      <c r="M5" s="5" t="n">
        <v>7150</v>
      </c>
      <c r="N5" s="5">
        <f>IF(OR(L5="",M5=""),"",M5-L5)</f>
        <v/>
      </c>
      <c r="O5" s="6">
        <f>IFERROR(N5/L5,"")</f>
        <v/>
      </c>
    </row>
    <row r="6">
      <c r="A6" s="2" t="n">
        <v>46262</v>
      </c>
      <c r="B6" s="3" t="n">
        <v>0.6194560185185185</v>
      </c>
      <c r="C6" s="10" t="inlineStr">
        <is>
          <t>Anadolubank</t>
        </is>
      </c>
      <c r="D6" s="5" t="n">
        <v>47.3123</v>
      </c>
      <c r="E6" s="5" t="n">
        <v>48.589</v>
      </c>
      <c r="F6" s="5">
        <f>IF(OR(D6="",E6=""),"",E6-D6)</f>
        <v/>
      </c>
      <c r="G6" s="6">
        <f>IFERROR(F6/D6,"")</f>
        <v/>
      </c>
      <c r="H6" s="5" t="n">
        <v>55.1971</v>
      </c>
      <c r="I6" s="5" t="n">
        <v>56.5682</v>
      </c>
      <c r="J6" s="5">
        <f>IF(OR(H6="",I6=""),"",I6-H6)</f>
        <v/>
      </c>
      <c r="K6" s="6">
        <f>IFERROR(J6/H6,"")</f>
        <v/>
      </c>
      <c r="L6" s="5" t="n">
        <v>6990.24</v>
      </c>
      <c r="M6" s="5" t="n">
        <v>7149.18</v>
      </c>
      <c r="N6" s="5">
        <f>IF(OR(L6="",M6=""),"",M6-L6)</f>
        <v/>
      </c>
      <c r="O6" s="6">
        <f>IFERROR(N6/L6,"")</f>
        <v/>
      </c>
    </row>
    <row r="7">
      <c r="A7" s="2" t="n">
        <v>46262</v>
      </c>
      <c r="B7" s="3" t="n">
        <v>0.6194560185185185</v>
      </c>
      <c r="C7" s="11" t="inlineStr">
        <is>
          <t>CEPTETEB</t>
        </is>
      </c>
      <c r="D7" s="5" t="n">
        <v>47.166</v>
      </c>
      <c r="E7" s="5" t="n">
        <v>49.083</v>
      </c>
      <c r="F7" s="5">
        <f>IF(OR(D7="",E7=""),"",E7-D7)</f>
        <v/>
      </c>
      <c r="G7" s="6">
        <f>IFERROR(F7/D7,"")</f>
        <v/>
      </c>
      <c r="H7" s="5" t="n">
        <v>54.92</v>
      </c>
      <c r="I7" s="5" t="n">
        <v>57.157</v>
      </c>
      <c r="J7" s="5">
        <f>IF(OR(H7="",I7=""),"",I7-H7)</f>
        <v/>
      </c>
      <c r="K7" s="6">
        <f>IFERROR(J7/H7,"")</f>
        <v/>
      </c>
      <c r="L7" s="5" t="n">
        <v>6993.35</v>
      </c>
      <c r="M7" s="5" t="n">
        <v>7187.04</v>
      </c>
      <c r="N7" s="5">
        <f>IF(OR(L7="",M7=""),"",M7-L7)</f>
        <v/>
      </c>
      <c r="O7" s="6">
        <f>IFERROR(N7/L7,"")</f>
        <v/>
      </c>
    </row>
    <row r="8">
      <c r="A8" s="2" t="n">
        <v>46262</v>
      </c>
      <c r="B8" s="3" t="n">
        <v>0.6194560185185185</v>
      </c>
      <c r="C8" s="12" t="inlineStr">
        <is>
          <t>Denizbank</t>
        </is>
      </c>
      <c r="D8" s="5" t="n">
        <v>47.42</v>
      </c>
      <c r="E8" s="5" t="n">
        <v>48.8201</v>
      </c>
      <c r="F8" s="5">
        <f>IF(OR(D8="",E8=""),"",E8-D8)</f>
        <v/>
      </c>
      <c r="G8" s="6">
        <f>IFERROR(F8/D8,"")</f>
        <v/>
      </c>
      <c r="H8" s="5" t="n">
        <v>55.213</v>
      </c>
      <c r="I8" s="5" t="n">
        <v>56.8432</v>
      </c>
      <c r="J8" s="5">
        <f>IF(OR(H8="",I8=""),"",I8-H8)</f>
        <v/>
      </c>
      <c r="K8" s="6">
        <f>IFERROR(J8/H8,"")</f>
        <v/>
      </c>
      <c r="L8" s="5" t="n">
        <v>7002.85</v>
      </c>
      <c r="M8" s="5" t="n">
        <v>7210.62</v>
      </c>
      <c r="N8" s="5">
        <f>IF(OR(L8="",M8=""),"",M8-L8)</f>
        <v/>
      </c>
      <c r="O8" s="6">
        <f>IFERROR(N8/L8,"")</f>
        <v/>
      </c>
    </row>
    <row r="9">
      <c r="A9" s="2" t="n">
        <v>46262</v>
      </c>
      <c r="B9" s="3" t="n">
        <v>0.6194560185185185</v>
      </c>
      <c r="C9" s="13" t="inlineStr">
        <is>
          <t>DestekBank</t>
        </is>
      </c>
      <c r="D9" s="5" t="n">
        <v>48.0768</v>
      </c>
      <c r="E9" s="5" t="n">
        <v>48.1459</v>
      </c>
      <c r="F9" s="5">
        <f>IF(OR(D9="",E9=""),"",E9-D9)</f>
        <v/>
      </c>
      <c r="G9" s="6">
        <f>IFERROR(F9/D9,"")</f>
        <v/>
      </c>
      <c r="H9" s="5" t="n">
        <v>55.965</v>
      </c>
      <c r="I9" s="5" t="n">
        <v>56.0672</v>
      </c>
      <c r="J9" s="5">
        <f>IF(OR(H9="",I9=""),"",I9-H9)</f>
        <v/>
      </c>
      <c r="K9" s="6">
        <f>IFERROR(J9/H9,"")</f>
        <v/>
      </c>
      <c r="L9" s="5" t="n">
        <v>7052.89</v>
      </c>
      <c r="M9" s="5" t="n">
        <v>7083.93</v>
      </c>
      <c r="N9" s="5">
        <f>IF(OR(L9="",M9=""),"",M9-L9)</f>
        <v/>
      </c>
      <c r="O9" s="6">
        <f>IFERROR(N9/L9,"")</f>
        <v/>
      </c>
    </row>
    <row r="10">
      <c r="A10" s="2" t="n">
        <v>46262</v>
      </c>
      <c r="B10" s="3" t="n">
        <v>0.6194560185185185</v>
      </c>
      <c r="C10" s="14" t="inlineStr">
        <is>
          <t>Dünya Katılım</t>
        </is>
      </c>
      <c r="D10" s="5" t="n">
        <v>48.098</v>
      </c>
      <c r="E10" s="5" t="n">
        <v>48.1369</v>
      </c>
      <c r="F10" s="5">
        <f>IF(OR(D10="",E10=""),"",E10-D10)</f>
        <v/>
      </c>
      <c r="G10" s="6">
        <f>IFERROR(F10/D10,"")</f>
        <v/>
      </c>
      <c r="H10" s="5" t="n">
        <v>55.9563</v>
      </c>
      <c r="I10" s="5" t="n">
        <v>56.0667</v>
      </c>
      <c r="J10" s="5">
        <f>IF(OR(H10="",I10=""),"",I10-H10)</f>
        <v/>
      </c>
      <c r="K10" s="6">
        <f>IFERROR(J10/H10,"")</f>
        <v/>
      </c>
      <c r="L10" s="5" t="n">
        <v>7054.04</v>
      </c>
      <c r="M10" s="5" t="n">
        <v>7088.11</v>
      </c>
      <c r="N10" s="5">
        <f>IF(OR(L10="",M10=""),"",M10-L10)</f>
        <v/>
      </c>
      <c r="O10" s="6">
        <f>IFERROR(N10/L10,"")</f>
        <v/>
      </c>
    </row>
    <row r="11">
      <c r="A11" s="2" t="n">
        <v>46262</v>
      </c>
      <c r="B11" s="3" t="n">
        <v>0.6194560185185185</v>
      </c>
      <c r="C11" s="15" t="inlineStr">
        <is>
          <t>Emlak Katılım</t>
        </is>
      </c>
      <c r="D11" s="5" t="n">
        <v>47.7825</v>
      </c>
      <c r="E11" s="5" t="n">
        <v>49.0178</v>
      </c>
      <c r="F11" s="5">
        <f>IF(OR(D11="",E11=""),"",E11-D11)</f>
        <v/>
      </c>
      <c r="G11" s="6">
        <f>IFERROR(F11/D11,"")</f>
        <v/>
      </c>
      <c r="H11" s="5" t="n">
        <v>55.5481</v>
      </c>
      <c r="I11" s="5" t="n">
        <v>56.8267</v>
      </c>
      <c r="J11" s="5">
        <f>IF(OR(H11="",I11=""),"",I11-H11)</f>
        <v/>
      </c>
      <c r="K11" s="6">
        <f>IFERROR(J11/H11,"")</f>
        <v/>
      </c>
      <c r="L11" s="5" t="n">
        <v>7019.53</v>
      </c>
      <c r="M11" s="5" t="n">
        <v>7134.22</v>
      </c>
      <c r="N11" s="5">
        <f>IF(OR(L11="",M11=""),"",M11-L11)</f>
        <v/>
      </c>
      <c r="O11" s="6">
        <f>IFERROR(N11/L11,"")</f>
        <v/>
      </c>
    </row>
    <row r="12">
      <c r="A12" s="2" t="n">
        <v>46262</v>
      </c>
      <c r="B12" s="3" t="n">
        <v>0.6194560185185185</v>
      </c>
      <c r="C12" s="16" t="inlineStr">
        <is>
          <t>Enpara</t>
        </is>
      </c>
      <c r="D12" s="5" t="n">
        <v>47.795</v>
      </c>
      <c r="E12" s="5" t="n">
        <v>48.645</v>
      </c>
      <c r="F12" s="5">
        <f>IF(OR(D12="",E12=""),"",E12-D12)</f>
        <v/>
      </c>
      <c r="G12" s="6">
        <f>IFERROR(F12/D12,"")</f>
        <v/>
      </c>
      <c r="H12" s="5" t="n">
        <v>55.569</v>
      </c>
      <c r="I12" s="5" t="n">
        <v>56.737</v>
      </c>
      <c r="J12" s="5">
        <f>IF(OR(H12="",I12=""),"",I12-H12)</f>
        <v/>
      </c>
      <c r="K12" s="6">
        <f>IFERROR(J12/H12,"")</f>
        <v/>
      </c>
      <c r="L12" s="5" t="n">
        <v>7013.74</v>
      </c>
      <c r="M12" s="5" t="n">
        <v>7176.82</v>
      </c>
      <c r="N12" s="5">
        <f>IF(OR(L12="",M12=""),"",M12-L12)</f>
        <v/>
      </c>
      <c r="O12" s="6">
        <f>IFERROR(N12/L12,"")</f>
        <v/>
      </c>
    </row>
    <row r="13">
      <c r="A13" s="2" t="n">
        <v>46262</v>
      </c>
      <c r="B13" s="3" t="n">
        <v>0.6194560185185185</v>
      </c>
      <c r="C13" s="17" t="inlineStr">
        <is>
          <t>Fibabanka</t>
        </is>
      </c>
      <c r="D13" s="5" t="n">
        <v>47.8478</v>
      </c>
      <c r="E13" s="5" t="n">
        <v>48.4679</v>
      </c>
      <c r="F13" s="5">
        <f>IF(OR(D13="",E13=""),"",E13-D13)</f>
        <v/>
      </c>
      <c r="G13" s="6">
        <f>IFERROR(F13/D13,"")</f>
        <v/>
      </c>
      <c r="H13" s="5" t="n">
        <v>55.7309</v>
      </c>
      <c r="I13" s="5" t="n">
        <v>56.4079</v>
      </c>
      <c r="J13" s="5">
        <f>IF(OR(H13="",I13=""),"",I13-H13)</f>
        <v/>
      </c>
      <c r="K13" s="6">
        <f>IFERROR(J13/H13,"")</f>
        <v/>
      </c>
      <c r="L13" s="5" t="n">
        <v>7075.8</v>
      </c>
      <c r="M13" s="5" t="n">
        <v>7132.35</v>
      </c>
      <c r="N13" s="5">
        <f>IF(OR(L13="",M13=""),"",M13-L13)</f>
        <v/>
      </c>
      <c r="O13" s="6">
        <f>IFERROR(N13/L13,"")</f>
        <v/>
      </c>
    </row>
    <row r="14">
      <c r="A14" s="2" t="n">
        <v>46262</v>
      </c>
      <c r="B14" s="3" t="n">
        <v>0.6194560185185185</v>
      </c>
      <c r="C14" s="18" t="inlineStr">
        <is>
          <t>Garanti BBVA</t>
        </is>
      </c>
      <c r="D14" s="5" t="n">
        <v>47.315</v>
      </c>
      <c r="E14" s="5" t="n">
        <v>48.665</v>
      </c>
      <c r="F14" s="5">
        <f>IF(OR(D14="",E14=""),"",E14-D14)</f>
        <v/>
      </c>
      <c r="G14" s="6">
        <f>IFERROR(F14/D14,"")</f>
        <v/>
      </c>
      <c r="H14" s="5" t="n">
        <v>55.107</v>
      </c>
      <c r="I14" s="5" t="n">
        <v>56.68</v>
      </c>
      <c r="J14" s="5">
        <f>IF(OR(H14="",I14=""),"",I14-H14)</f>
        <v/>
      </c>
      <c r="K14" s="6">
        <f>IFERROR(J14/H14,"")</f>
        <v/>
      </c>
      <c r="L14" s="5" t="n">
        <v>6969.52</v>
      </c>
      <c r="M14" s="5" t="n">
        <v>7227.12</v>
      </c>
      <c r="N14" s="5">
        <f>IF(OR(L14="",M14=""),"",M14-L14)</f>
        <v/>
      </c>
      <c r="O14" s="6">
        <f>IFERROR(N14/L14,"")</f>
        <v/>
      </c>
    </row>
    <row r="15">
      <c r="A15" s="2" t="n">
        <v>46262</v>
      </c>
      <c r="B15" s="3" t="n">
        <v>0.6194560185185185</v>
      </c>
      <c r="C15" s="19" t="inlineStr">
        <is>
          <t>Getirfinans</t>
        </is>
      </c>
      <c r="D15" s="5" t="n">
        <v>47.8478</v>
      </c>
      <c r="E15" s="5" t="n">
        <v>48.4679</v>
      </c>
      <c r="F15" s="5">
        <f>IF(OR(D15="",E15=""),"",E15-D15)</f>
        <v/>
      </c>
      <c r="G15" s="6">
        <f>IFERROR(F15/D15,"")</f>
        <v/>
      </c>
      <c r="H15" s="5" t="n">
        <v>55.7304</v>
      </c>
      <c r="I15" s="5" t="n">
        <v>56.4074</v>
      </c>
      <c r="J15" s="5">
        <f>IF(OR(H15="",I15=""),"",I15-H15)</f>
        <v/>
      </c>
      <c r="K15" s="6">
        <f>IFERROR(J15/H15,"")</f>
        <v/>
      </c>
      <c r="L15" s="5" t="n">
        <v>7075.97</v>
      </c>
      <c r="M15" s="5" t="n">
        <v>7132.57</v>
      </c>
      <c r="N15" s="5">
        <f>IF(OR(L15="",M15=""),"",M15-L15)</f>
        <v/>
      </c>
      <c r="O15" s="6">
        <f>IFERROR(N15/L15,"")</f>
        <v/>
      </c>
    </row>
    <row r="16">
      <c r="A16" s="2" t="n">
        <v>46262</v>
      </c>
      <c r="B16" s="3" t="n">
        <v>0.6194560185185185</v>
      </c>
      <c r="C16" s="20" t="inlineStr">
        <is>
          <t>Halkbank</t>
        </is>
      </c>
      <c r="D16" s="5" t="n">
        <v>47.7247</v>
      </c>
      <c r="E16" s="5" t="n">
        <v>48.7047</v>
      </c>
      <c r="F16" s="5">
        <f>IF(OR(D16="",E16=""),"",E16-D16)</f>
        <v/>
      </c>
      <c r="G16" s="6">
        <f>IFERROR(F16/D16,"")</f>
        <v/>
      </c>
      <c r="H16" s="5" t="n">
        <v>55.5802</v>
      </c>
      <c r="I16" s="5" t="n">
        <v>56.7215</v>
      </c>
      <c r="J16" s="5">
        <f>IF(OR(H16="",I16=""),"",I16-H16)</f>
        <v/>
      </c>
      <c r="K16" s="6">
        <f>IFERROR(J16/H16,"")</f>
        <v/>
      </c>
      <c r="L16" s="5" t="n">
        <v>7003.95</v>
      </c>
      <c r="M16" s="5" t="n">
        <v>7219.81</v>
      </c>
      <c r="N16" s="5">
        <f>IF(OR(L16="",M16=""),"",M16-L16)</f>
        <v/>
      </c>
      <c r="O16" s="6">
        <f>IFERROR(N16/L16,"")</f>
        <v/>
      </c>
    </row>
    <row r="17">
      <c r="A17" s="2" t="n">
        <v>46262</v>
      </c>
      <c r="B17" s="3" t="n">
        <v>0.6194560185185185</v>
      </c>
      <c r="C17" s="21" t="inlineStr">
        <is>
          <t>Harem</t>
        </is>
      </c>
      <c r="D17" s="5" t="n">
        <v>48.057</v>
      </c>
      <c r="E17" s="5" t="n">
        <v>48.124</v>
      </c>
      <c r="F17" s="5">
        <f>IF(OR(D17="",E17=""),"",E17-D17)</f>
        <v/>
      </c>
      <c r="G17" s="6">
        <f>IFERROR(F17/D17,"")</f>
        <v/>
      </c>
      <c r="H17" s="5" t="n">
        <v>55.833</v>
      </c>
      <c r="I17" s="5" t="n">
        <v>56</v>
      </c>
      <c r="J17" s="5">
        <f>IF(OR(H17="",I17=""),"",I17-H17)</f>
        <v/>
      </c>
      <c r="K17" s="6">
        <f>IFERROR(J17/H17,"")</f>
        <v/>
      </c>
      <c r="L17" s="5" t="n">
        <v>7026.56</v>
      </c>
      <c r="M17" s="5" t="n">
        <v>7097.95</v>
      </c>
      <c r="N17" s="5">
        <f>IF(OR(L17="",M17=""),"",M17-L17)</f>
        <v/>
      </c>
      <c r="O17" s="6">
        <f>IFERROR(N17/L17,"")</f>
        <v/>
      </c>
    </row>
    <row r="18">
      <c r="A18" s="2" t="n">
        <v>46262</v>
      </c>
      <c r="B18" s="3" t="n">
        <v>0.6194560185185185</v>
      </c>
      <c r="C18" s="22" t="inlineStr">
        <is>
          <t>Hayat Finans</t>
        </is>
      </c>
      <c r="D18" s="5" t="n">
        <v>48.0756</v>
      </c>
      <c r="E18" s="5" t="n">
        <v>48.3541</v>
      </c>
      <c r="F18" s="5">
        <f>IF(OR(D18="",E18=""),"",E18-D18)</f>
        <v/>
      </c>
      <c r="G18" s="6">
        <f>IFERROR(F18/D18,"")</f>
        <v/>
      </c>
      <c r="H18" s="5" t="n">
        <v>55.984</v>
      </c>
      <c r="I18" s="5" t="n">
        <v>56.3084</v>
      </c>
      <c r="J18" s="5">
        <f>IF(OR(H18="",I18=""),"",I18-H18)</f>
        <v/>
      </c>
      <c r="K18" s="6">
        <f>IFERROR(J18/H18,"")</f>
        <v/>
      </c>
      <c r="L18" s="5" t="n">
        <v>7048.87</v>
      </c>
      <c r="M18" s="5" t="n">
        <v>7188.24</v>
      </c>
      <c r="N18" s="5">
        <f>IF(OR(L18="",M18=""),"",M18-L18)</f>
        <v/>
      </c>
      <c r="O18" s="6">
        <f>IFERROR(N18/L18,"")</f>
        <v/>
      </c>
    </row>
    <row r="19">
      <c r="A19" s="2" t="n">
        <v>46262</v>
      </c>
      <c r="B19" s="3" t="n">
        <v>0.6194560185185185</v>
      </c>
      <c r="C19" s="23" t="inlineStr">
        <is>
          <t>Hepsipay</t>
        </is>
      </c>
      <c r="D19" s="5" t="n"/>
      <c r="E19" s="5" t="n"/>
      <c r="F19" s="5" t="n"/>
      <c r="G19" s="6" t="n"/>
      <c r="H19" s="5" t="n"/>
      <c r="I19" s="5" t="n"/>
      <c r="J19" s="5" t="n"/>
      <c r="K19" s="6" t="n"/>
      <c r="L19" s="5" t="n">
        <v>7028.41</v>
      </c>
      <c r="M19" s="5" t="n">
        <v>7231.54</v>
      </c>
      <c r="N19" s="5">
        <f>IF(OR(L19="",M19=""),"",M19-L19)</f>
        <v/>
      </c>
      <c r="O19" s="6">
        <f>IFERROR(N19/L19,"")</f>
        <v/>
      </c>
    </row>
    <row r="20">
      <c r="A20" s="2" t="n">
        <v>46262</v>
      </c>
      <c r="B20" s="3" t="n">
        <v>0.6194560185185185</v>
      </c>
      <c r="C20" s="24" t="inlineStr">
        <is>
          <t>HSBC</t>
        </is>
      </c>
      <c r="D20" s="5" t="n">
        <v>47.6572</v>
      </c>
      <c r="E20" s="5" t="n">
        <v>48.5572</v>
      </c>
      <c r="F20" s="5">
        <f>IF(OR(D20="",E20=""),"",E20-D20)</f>
        <v/>
      </c>
      <c r="G20" s="6">
        <f>IFERROR(F20/D20,"")</f>
        <v/>
      </c>
      <c r="H20" s="5" t="n">
        <v>55.4956</v>
      </c>
      <c r="I20" s="5" t="n">
        <v>56.5703</v>
      </c>
      <c r="J20" s="5">
        <f>IF(OR(H20="",I20=""),"",I20-H20)</f>
        <v/>
      </c>
      <c r="K20" s="6">
        <f>IFERROR(J20/H20,"")</f>
        <v/>
      </c>
      <c r="L20" s="5" t="n">
        <v>7007.17</v>
      </c>
      <c r="M20" s="5" t="n">
        <v>7454.69</v>
      </c>
      <c r="N20" s="5">
        <f>IF(OR(L20="",M20=""),"",M20-L20)</f>
        <v/>
      </c>
      <c r="O20" s="6">
        <f>IFERROR(N20/L20,"")</f>
        <v/>
      </c>
    </row>
    <row r="21">
      <c r="A21" s="2" t="n">
        <v>46262</v>
      </c>
      <c r="B21" s="3" t="n">
        <v>0.6194560185185185</v>
      </c>
      <c r="C21" s="25" t="inlineStr">
        <is>
          <t>ING Bank</t>
        </is>
      </c>
      <c r="D21" s="5" t="n">
        <v>47.6088</v>
      </c>
      <c r="E21" s="5" t="n">
        <v>48.6146</v>
      </c>
      <c r="F21" s="5">
        <f>IF(OR(D21="",E21=""),"",E21-D21)</f>
        <v/>
      </c>
      <c r="G21" s="6">
        <f>IFERROR(F21/D21,"")</f>
        <v/>
      </c>
      <c r="H21" s="5" t="n">
        <v>55.5151</v>
      </c>
      <c r="I21" s="5" t="n">
        <v>56.5268</v>
      </c>
      <c r="J21" s="5">
        <f>IF(OR(H21="",I21=""),"",I21-H21)</f>
        <v/>
      </c>
      <c r="K21" s="6">
        <f>IFERROR(J21/H21,"")</f>
        <v/>
      </c>
      <c r="L21" s="5" t="n">
        <v>6977.2</v>
      </c>
      <c r="M21" s="5" t="n">
        <v>7230.01</v>
      </c>
      <c r="N21" s="5">
        <f>IF(OR(L21="",M21=""),"",M21-L21)</f>
        <v/>
      </c>
      <c r="O21" s="6">
        <f>IFERROR(N21/L21,"")</f>
        <v/>
      </c>
    </row>
    <row r="22">
      <c r="A22" s="2" t="n">
        <v>46262</v>
      </c>
      <c r="B22" s="3" t="n">
        <v>0.6194560185185185</v>
      </c>
      <c r="C22" s="26" t="inlineStr">
        <is>
          <t>İş Bankası</t>
        </is>
      </c>
      <c r="D22" s="5" t="n">
        <v>47.5348</v>
      </c>
      <c r="E22" s="5" t="n">
        <v>48.6931</v>
      </c>
      <c r="F22" s="5">
        <f>IF(OR(D22="",E22=""),"",E22-D22)</f>
        <v/>
      </c>
      <c r="G22" s="6">
        <f>IFERROR(F22/D22,"")</f>
        <v/>
      </c>
      <c r="H22" s="5" t="n">
        <v>55.3447</v>
      </c>
      <c r="I22" s="5" t="n">
        <v>56.6983</v>
      </c>
      <c r="J22" s="5">
        <f>IF(OR(H22="",I22=""),"",I22-H22)</f>
        <v/>
      </c>
      <c r="K22" s="6">
        <f>IFERROR(J22/H22,"")</f>
        <v/>
      </c>
      <c r="L22" s="5" t="n">
        <v>6996.14</v>
      </c>
      <c r="M22" s="5" t="n">
        <v>7188.51</v>
      </c>
      <c r="N22" s="5">
        <f>IF(OR(L22="",M22=""),"",M22-L22)</f>
        <v/>
      </c>
      <c r="O22" s="6">
        <f>IFERROR(N22/L22,"")</f>
        <v/>
      </c>
    </row>
    <row r="23">
      <c r="A23" s="2" t="n">
        <v>46262</v>
      </c>
      <c r="B23" s="3" t="n">
        <v>0.6194560185185185</v>
      </c>
      <c r="C23" s="27" t="inlineStr">
        <is>
          <t>Kapalıçarşı</t>
        </is>
      </c>
      <c r="D23" s="5" t="n">
        <v>48.09</v>
      </c>
      <c r="E23" s="5" t="n">
        <v>48.1</v>
      </c>
      <c r="F23" s="5">
        <f>IF(OR(D23="",E23=""),"",E23-D23)</f>
        <v/>
      </c>
      <c r="G23" s="6">
        <f>IFERROR(F23/D23,"")</f>
        <v/>
      </c>
      <c r="H23" s="5" t="n">
        <v>55.9</v>
      </c>
      <c r="I23" s="5" t="n">
        <v>55.95</v>
      </c>
      <c r="J23" s="5">
        <f>IF(OR(H23="",I23=""),"",I23-H23)</f>
        <v/>
      </c>
      <c r="K23" s="6">
        <f>IFERROR(J23/H23,"")</f>
        <v/>
      </c>
      <c r="L23" s="5" t="n">
        <v>7068.51</v>
      </c>
      <c r="M23" s="5" t="n">
        <v>7074.81</v>
      </c>
      <c r="N23" s="5">
        <f>IF(OR(L23="",M23=""),"",M23-L23)</f>
        <v/>
      </c>
      <c r="O23" s="6">
        <f>IFERROR(N23/L23,"")</f>
        <v/>
      </c>
    </row>
    <row r="24">
      <c r="A24" s="2" t="n">
        <v>46262</v>
      </c>
      <c r="B24" s="3" t="n">
        <v>0.6194560185185185</v>
      </c>
      <c r="C24" s="28" t="inlineStr">
        <is>
          <t>Kuveyt Türk</t>
        </is>
      </c>
      <c r="D24" s="5" t="n">
        <v>47.4533</v>
      </c>
      <c r="E24" s="5" t="n">
        <v>48.471</v>
      </c>
      <c r="F24" s="5">
        <f>IF(OR(D24="",E24=""),"",E24-D24)</f>
        <v/>
      </c>
      <c r="G24" s="6">
        <f>IFERROR(F24/D24,"")</f>
        <v/>
      </c>
      <c r="H24" s="5" t="n">
        <v>55.2655</v>
      </c>
      <c r="I24" s="5" t="n">
        <v>56.4512</v>
      </c>
      <c r="J24" s="5">
        <f>IF(OR(H24="",I24=""),"",I24-H24)</f>
        <v/>
      </c>
      <c r="K24" s="6">
        <f>IFERROR(J24/H24,"")</f>
        <v/>
      </c>
      <c r="L24" s="5" t="n">
        <v>6952.2</v>
      </c>
      <c r="M24" s="5" t="n">
        <v>7137.07</v>
      </c>
      <c r="N24" s="5">
        <f>IF(OR(L24="",M24=""),"",M24-L24)</f>
        <v/>
      </c>
      <c r="O24" s="6">
        <f>IFERROR(N24/L24,"")</f>
        <v/>
      </c>
    </row>
    <row r="25">
      <c r="A25" s="2" t="n">
        <v>46262</v>
      </c>
      <c r="B25" s="3" t="n">
        <v>0.6194560185185185</v>
      </c>
      <c r="C25" s="29" t="inlineStr">
        <is>
          <t>Merkez Bankası</t>
        </is>
      </c>
      <c r="D25" s="5" t="n">
        <v>48.0466</v>
      </c>
      <c r="E25" s="5" t="n">
        <v>48.1331</v>
      </c>
      <c r="F25" s="5">
        <f>IF(OR(D25="",E25=""),"",E25-D25)</f>
        <v/>
      </c>
      <c r="G25" s="6">
        <f>IFERROR(F25/D25,"")</f>
        <v/>
      </c>
      <c r="H25" s="5" t="n">
        <v>55.9574</v>
      </c>
      <c r="I25" s="5" t="n">
        <v>56.0582</v>
      </c>
      <c r="J25" s="5">
        <f>IF(OR(H25="",I25=""),"",I25-H25)</f>
        <v/>
      </c>
      <c r="K25" s="6">
        <f>IFERROR(J25/H25,"")</f>
        <v/>
      </c>
      <c r="L25" s="5" t="n"/>
      <c r="M25" s="5" t="n"/>
      <c r="N25" s="5" t="n"/>
      <c r="O25" s="6" t="n"/>
    </row>
    <row r="26">
      <c r="A26" s="2" t="n">
        <v>46262</v>
      </c>
      <c r="B26" s="3" t="n">
        <v>0.6194560185185185</v>
      </c>
      <c r="C26" s="30" t="inlineStr">
        <is>
          <t>Misyon Bank</t>
        </is>
      </c>
      <c r="D26" s="5" t="n">
        <v>48.0811</v>
      </c>
      <c r="E26" s="5" t="n">
        <v>48.1424</v>
      </c>
      <c r="F26" s="5">
        <f>IF(OR(D26="",E26=""),"",E26-D26)</f>
        <v/>
      </c>
      <c r="G26" s="6">
        <f>IFERROR(F26/D26,"")</f>
        <v/>
      </c>
      <c r="H26" s="5" t="n">
        <v>55.9728</v>
      </c>
      <c r="I26" s="5" t="n">
        <v>56.0641</v>
      </c>
      <c r="J26" s="5">
        <f>IF(OR(H26="",I26=""),"",I26-H26)</f>
        <v/>
      </c>
      <c r="K26" s="6">
        <f>IFERROR(J26/H26,"")</f>
        <v/>
      </c>
      <c r="L26" s="5" t="n">
        <v>7065.72</v>
      </c>
      <c r="M26" s="5" t="n">
        <v>7097.26</v>
      </c>
      <c r="N26" s="5">
        <f>IF(OR(L26="",M26=""),"",M26-L26)</f>
        <v/>
      </c>
      <c r="O26" s="6">
        <f>IFERROR(N26/L26,"")</f>
        <v/>
      </c>
    </row>
    <row r="27">
      <c r="A27" s="2" t="n">
        <v>46262</v>
      </c>
      <c r="B27" s="3" t="n">
        <v>0.6194560185185185</v>
      </c>
      <c r="C27" s="31" t="inlineStr">
        <is>
          <t>Odacı</t>
        </is>
      </c>
      <c r="D27" s="5" t="n">
        <v>48.07</v>
      </c>
      <c r="E27" s="5" t="n">
        <v>48.182</v>
      </c>
      <c r="F27" s="5">
        <f>IF(OR(D27="",E27=""),"",E27-D27)</f>
        <v/>
      </c>
      <c r="G27" s="6">
        <f>IFERROR(F27/D27,"")</f>
        <v/>
      </c>
      <c r="H27" s="5" t="n">
        <v>55.885</v>
      </c>
      <c r="I27" s="5" t="n">
        <v>56.055</v>
      </c>
      <c r="J27" s="5">
        <f>IF(OR(H27="",I27=""),"",I27-H27)</f>
        <v/>
      </c>
      <c r="K27" s="6">
        <f>IFERROR(J27/H27,"")</f>
        <v/>
      </c>
      <c r="L27" s="5" t="n">
        <v>7049</v>
      </c>
      <c r="M27" s="5" t="n">
        <v>7088</v>
      </c>
      <c r="N27" s="5">
        <f>IF(OR(L27="",M27=""),"",M27-L27)</f>
        <v/>
      </c>
      <c r="O27" s="6">
        <f>IFERROR(N27/L27,"")</f>
        <v/>
      </c>
    </row>
    <row r="28">
      <c r="A28" s="2" t="n">
        <v>46262</v>
      </c>
      <c r="B28" s="3" t="n">
        <v>0.6194560185185185</v>
      </c>
      <c r="C28" s="32" t="inlineStr">
        <is>
          <t>Odeabank</t>
        </is>
      </c>
      <c r="D28" s="5" t="n">
        <v>47.643</v>
      </c>
      <c r="E28" s="5" t="n">
        <v>48.643</v>
      </c>
      <c r="F28" s="5">
        <f>IF(OR(D28="",E28=""),"",E28-D28)</f>
        <v/>
      </c>
      <c r="G28" s="6">
        <f>IFERROR(F28/D28,"")</f>
        <v/>
      </c>
      <c r="H28" s="5" t="n">
        <v>55.511</v>
      </c>
      <c r="I28" s="5" t="n">
        <v>56.601</v>
      </c>
      <c r="J28" s="5">
        <f>IF(OR(H28="",I28=""),"",I28-H28)</f>
        <v/>
      </c>
      <c r="K28" s="6">
        <f>IFERROR(J28/H28,"")</f>
        <v/>
      </c>
      <c r="L28" s="5" t="n">
        <v>7061.06</v>
      </c>
      <c r="M28" s="5" t="n">
        <v>7161.06</v>
      </c>
      <c r="N28" s="5">
        <f>IF(OR(L28="",M28=""),"",M28-L28)</f>
        <v/>
      </c>
      <c r="O28" s="6">
        <f>IFERROR(N28/L28,"")</f>
        <v/>
      </c>
    </row>
    <row r="29">
      <c r="A29" s="2" t="n">
        <v>46262</v>
      </c>
      <c r="B29" s="3" t="n">
        <v>0.6194560185185185</v>
      </c>
      <c r="C29" s="33" t="inlineStr">
        <is>
          <t>Papara</t>
        </is>
      </c>
      <c r="D29" s="5" t="n"/>
      <c r="E29" s="5" t="n"/>
      <c r="F29" s="5" t="n"/>
      <c r="G29" s="6" t="n"/>
      <c r="H29" s="5" t="n"/>
      <c r="I29" s="5" t="n"/>
      <c r="J29" s="5" t="n"/>
      <c r="K29" s="6" t="n"/>
      <c r="L29" s="5" t="n">
        <v>7028.41</v>
      </c>
      <c r="M29" s="5" t="n">
        <v>7217.11</v>
      </c>
      <c r="N29" s="5">
        <f>IF(OR(L29="",M29=""),"",M29-L29)</f>
        <v/>
      </c>
      <c r="O29" s="6">
        <f>IFERROR(N29/L29,"")</f>
        <v/>
      </c>
    </row>
    <row r="30">
      <c r="A30" s="2" t="n">
        <v>46262</v>
      </c>
      <c r="B30" s="3" t="n">
        <v>0.6194560185185185</v>
      </c>
      <c r="C30" s="34" t="inlineStr">
        <is>
          <t>QNB Finansbank</t>
        </is>
      </c>
      <c r="D30" s="5" t="n">
        <v>47.505</v>
      </c>
      <c r="E30" s="5" t="n">
        <v>48.725</v>
      </c>
      <c r="F30" s="5">
        <f>IF(OR(D30="",E30=""),"",E30-D30)</f>
        <v/>
      </c>
      <c r="G30" s="6">
        <f>IFERROR(F30/D30,"")</f>
        <v/>
      </c>
      <c r="H30" s="5" t="n">
        <v>55.1987</v>
      </c>
      <c r="I30" s="5" t="n">
        <v>56.8643</v>
      </c>
      <c r="J30" s="5">
        <f>IF(OR(H30="",I30=""),"",I30-H30)</f>
        <v/>
      </c>
      <c r="K30" s="6">
        <f>IFERROR(J30/H30,"")</f>
        <v/>
      </c>
      <c r="L30" s="5" t="n">
        <v>6967.41</v>
      </c>
      <c r="M30" s="5" t="n">
        <v>7177.58</v>
      </c>
      <c r="N30" s="5">
        <f>IF(OR(L30="",M30=""),"",M30-L30)</f>
        <v/>
      </c>
      <c r="O30" s="6">
        <f>IFERROR(N30/L30,"")</f>
        <v/>
      </c>
    </row>
    <row r="31">
      <c r="A31" s="2" t="n">
        <v>46262</v>
      </c>
      <c r="B31" s="3" t="n">
        <v>0.6194560185185185</v>
      </c>
      <c r="C31" s="35" t="inlineStr">
        <is>
          <t>TOM Bank Hadi</t>
        </is>
      </c>
      <c r="D31" s="5" t="n">
        <v>48.1002</v>
      </c>
      <c r="E31" s="5" t="n">
        <v>48.3414</v>
      </c>
      <c r="F31" s="5">
        <f>IF(OR(D31="",E31=""),"",E31-D31)</f>
        <v/>
      </c>
      <c r="G31" s="6">
        <f>IFERROR(F31/D31,"")</f>
        <v/>
      </c>
      <c r="H31" s="5" t="n">
        <v>55.9613</v>
      </c>
      <c r="I31" s="5" t="n">
        <v>56.2984</v>
      </c>
      <c r="J31" s="5">
        <f>IF(OR(H31="",I31=""),"",I31-H31)</f>
        <v/>
      </c>
      <c r="K31" s="6">
        <f>IFERROR(J31/H31,"")</f>
        <v/>
      </c>
      <c r="L31" s="5" t="n">
        <v>6967.43</v>
      </c>
      <c r="M31" s="5" t="n">
        <v>7109.26</v>
      </c>
      <c r="N31" s="5">
        <f>IF(OR(L31="",M31=""),"",M31-L31)</f>
        <v/>
      </c>
      <c r="O31" s="6">
        <f>IFERROR(N31/L31,"")</f>
        <v/>
      </c>
    </row>
    <row r="32">
      <c r="A32" s="2" t="n">
        <v>46262</v>
      </c>
      <c r="B32" s="3" t="n">
        <v>0.6194560185185185</v>
      </c>
      <c r="C32" s="36" t="inlineStr">
        <is>
          <t>Türkiye Finans</t>
        </is>
      </c>
      <c r="D32" s="5" t="n">
        <v>47.7072</v>
      </c>
      <c r="E32" s="5" t="n">
        <v>48.5151</v>
      </c>
      <c r="F32" s="5">
        <f>IF(OR(D32="",E32=""),"",E32-D32)</f>
        <v/>
      </c>
      <c r="G32" s="6">
        <f>IFERROR(F32/D32,"")</f>
        <v/>
      </c>
      <c r="H32" s="5" t="n">
        <v>55.5908</v>
      </c>
      <c r="I32" s="5" t="n">
        <v>56.45</v>
      </c>
      <c r="J32" s="5">
        <f>IF(OR(H32="",I32=""),"",I32-H32)</f>
        <v/>
      </c>
      <c r="K32" s="6">
        <f>IFERROR(J32/H32,"")</f>
        <v/>
      </c>
      <c r="L32" s="5" t="n">
        <v>7003.59</v>
      </c>
      <c r="M32" s="5" t="n">
        <v>7201.61</v>
      </c>
      <c r="N32" s="5">
        <f>IF(OR(L32="",M32=""),"",M32-L32)</f>
        <v/>
      </c>
      <c r="O32" s="6">
        <f>IFERROR(N32/L32,"")</f>
        <v/>
      </c>
    </row>
    <row r="33">
      <c r="A33" s="2" t="n">
        <v>46262</v>
      </c>
      <c r="B33" s="3" t="n">
        <v>0.6194560185185185</v>
      </c>
      <c r="C33" s="37" t="inlineStr">
        <is>
          <t>Vakıf Katılım</t>
        </is>
      </c>
      <c r="D33" s="5" t="n">
        <v>48.017</v>
      </c>
      <c r="E33" s="5" t="n">
        <v>48.2196</v>
      </c>
      <c r="F33" s="5">
        <f>IF(OR(D33="",E33=""),"",E33-D33)</f>
        <v/>
      </c>
      <c r="G33" s="6">
        <f>IFERROR(F33/D33,"")</f>
        <v/>
      </c>
      <c r="H33" s="5" t="n">
        <v>55.9058</v>
      </c>
      <c r="I33" s="5" t="n">
        <v>56.1311</v>
      </c>
      <c r="J33" s="5">
        <f>IF(OR(H33="",I33=""),"",I33-H33)</f>
        <v/>
      </c>
      <c r="K33" s="6">
        <f>IFERROR(J33/H33,"")</f>
        <v/>
      </c>
      <c r="L33" s="5" t="n">
        <v>7045.79</v>
      </c>
      <c r="M33" s="5" t="n">
        <v>7102.39</v>
      </c>
      <c r="N33" s="5">
        <f>IF(OR(L33="",M33=""),"",M33-L33)</f>
        <v/>
      </c>
      <c r="O33" s="6">
        <f>IFERROR(N33/L33,"")</f>
        <v/>
      </c>
    </row>
    <row r="34">
      <c r="A34" s="2" t="n">
        <v>46262</v>
      </c>
      <c r="B34" s="3" t="n">
        <v>0.6194560185185185</v>
      </c>
      <c r="C34" s="38" t="inlineStr">
        <is>
          <t>Vakıfbank</t>
        </is>
      </c>
      <c r="D34" s="5" t="n">
        <v>47.7422</v>
      </c>
      <c r="E34" s="5" t="n">
        <v>48.7032</v>
      </c>
      <c r="F34" s="5">
        <f>IF(OR(D34="",E34=""),"",E34-D34)</f>
        <v/>
      </c>
      <c r="G34" s="6">
        <f>IFERROR(F34/D34,"")</f>
        <v/>
      </c>
      <c r="H34" s="5" t="n">
        <v>55.6312</v>
      </c>
      <c r="I34" s="5" t="n">
        <v>56.7443</v>
      </c>
      <c r="J34" s="5">
        <f>IF(OR(H34="",I34=""),"",I34-H34)</f>
        <v/>
      </c>
      <c r="K34" s="6">
        <f>IFERROR(J34/H34,"")</f>
        <v/>
      </c>
      <c r="L34" s="5" t="n">
        <v>7026.22</v>
      </c>
      <c r="M34" s="5" t="n">
        <v>7170.82</v>
      </c>
      <c r="N34" s="5">
        <f>IF(OR(L34="",M34=""),"",M34-L34)</f>
        <v/>
      </c>
      <c r="O34" s="6">
        <f>IFERROR(N34/L34,"")</f>
        <v/>
      </c>
    </row>
    <row r="35">
      <c r="A35" s="2" t="n">
        <v>46262</v>
      </c>
      <c r="B35" s="3" t="n">
        <v>0.6194560185185185</v>
      </c>
      <c r="C35" s="39" t="inlineStr">
        <is>
          <t>Venüs</t>
        </is>
      </c>
      <c r="D35" s="5" t="n">
        <v>48.075</v>
      </c>
      <c r="E35" s="5" t="n">
        <v>48.122</v>
      </c>
      <c r="F35" s="5">
        <f>IF(OR(D35="",E35=""),"",E35-D35)</f>
        <v/>
      </c>
      <c r="G35" s="6">
        <f>IFERROR(F35/D35,"")</f>
        <v/>
      </c>
      <c r="H35" s="5" t="n">
        <v>55.863</v>
      </c>
      <c r="I35" s="5" t="n">
        <v>56</v>
      </c>
      <c r="J35" s="5">
        <f>IF(OR(H35="",I35=""),"",I35-H35)</f>
        <v/>
      </c>
      <c r="K35" s="6">
        <f>IFERROR(J35/H35,"")</f>
        <v/>
      </c>
      <c r="L35" s="5" t="n"/>
      <c r="M35" s="5" t="n"/>
      <c r="N35" s="5" t="n"/>
      <c r="O35" s="6" t="n"/>
    </row>
    <row r="36">
      <c r="A36" s="2" t="n">
        <v>46262</v>
      </c>
      <c r="B36" s="3" t="n">
        <v>0.6194560185185185</v>
      </c>
      <c r="C36" s="40" t="inlineStr">
        <is>
          <t>Yapıkredi</t>
        </is>
      </c>
      <c r="D36" s="5" t="n">
        <v>47.56</v>
      </c>
      <c r="E36" s="5" t="n">
        <v>48.57</v>
      </c>
      <c r="F36" s="5">
        <f>IF(OR(D36="",E36=""),"",E36-D36)</f>
        <v/>
      </c>
      <c r="G36" s="6">
        <f>IFERROR(F36/D36,"")</f>
        <v/>
      </c>
      <c r="H36" s="5" t="n">
        <v>55.39</v>
      </c>
      <c r="I36" s="5" t="n">
        <v>56.54</v>
      </c>
      <c r="J36" s="5">
        <f>IF(OR(H36="",I36=""),"",I36-H36)</f>
        <v/>
      </c>
      <c r="K36" s="6">
        <f>IFERROR(J36/H36,"")</f>
        <v/>
      </c>
      <c r="L36" s="5" t="n">
        <v>6991.41</v>
      </c>
      <c r="M36" s="5" t="n">
        <v>7197.87</v>
      </c>
      <c r="N36" s="5">
        <f>IF(OR(L36="",M36=""),"",M36-L36)</f>
        <v/>
      </c>
      <c r="O36" s="6">
        <f>IFERROR(N36/L36,"")</f>
        <v/>
      </c>
    </row>
    <row r="37">
      <c r="A37" s="2" t="n">
        <v>46262</v>
      </c>
      <c r="B37" s="3" t="n">
        <v>0.6194560185185185</v>
      </c>
      <c r="C37" s="41" t="inlineStr">
        <is>
          <t>Ziraat Bankası</t>
        </is>
      </c>
      <c r="D37" s="5" t="n">
        <v>47.7539</v>
      </c>
      <c r="E37" s="5" t="n">
        <v>48.7199</v>
      </c>
      <c r="F37" s="5">
        <f>IF(OR(D37="",E37=""),"",E37-D37)</f>
        <v/>
      </c>
      <c r="G37" s="6">
        <f>IFERROR(F37/D37,"")</f>
        <v/>
      </c>
      <c r="H37" s="5" t="n">
        <v>55.6073</v>
      </c>
      <c r="I37" s="5" t="n">
        <v>56.7322</v>
      </c>
      <c r="J37" s="5">
        <f>IF(OR(H37="",I37=""),"",I37-H37)</f>
        <v/>
      </c>
      <c r="K37" s="6">
        <f>IFERROR(J37/H37,"")</f>
        <v/>
      </c>
      <c r="L37" s="5" t="n">
        <v>7059.03</v>
      </c>
      <c r="M37" s="5" t="n">
        <v>7201.56</v>
      </c>
      <c r="N37" s="5">
        <f>IF(OR(L37="",M37=""),"",M37-L37)</f>
        <v/>
      </c>
      <c r="O37" s="6">
        <f>IFERROR(N37/L37,"")</f>
        <v/>
      </c>
    </row>
    <row r="38">
      <c r="A38" s="2" t="n">
        <v>46262</v>
      </c>
      <c r="B38" s="3" t="n">
        <v>0.6194560185185185</v>
      </c>
      <c r="C38" s="42" t="inlineStr">
        <is>
          <t>Ziraat Dinamik</t>
        </is>
      </c>
      <c r="D38" s="5" t="n">
        <v>47.8017</v>
      </c>
      <c r="E38" s="5" t="n">
        <v>48.4519</v>
      </c>
      <c r="F38" s="5">
        <f>IF(OR(D38="",E38=""),"",E38-D38)</f>
        <v/>
      </c>
      <c r="G38" s="6">
        <f>IFERROR(F38/D38,"")</f>
        <v/>
      </c>
      <c r="H38" s="5" t="n">
        <v>55.597</v>
      </c>
      <c r="I38" s="5" t="n">
        <v>56.4098</v>
      </c>
      <c r="J38" s="5">
        <f>IF(OR(H38="",I38=""),"",I38-H38)</f>
        <v/>
      </c>
      <c r="K38" s="6">
        <f>IFERROR(J38/H38,"")</f>
        <v/>
      </c>
      <c r="L38" s="5" t="n">
        <v>7022.61</v>
      </c>
      <c r="M38" s="5" t="n">
        <v>7164.41</v>
      </c>
      <c r="N38" s="5">
        <f>IF(OR(L38="",M38=""),"",M38-L38)</f>
        <v/>
      </c>
      <c r="O38" s="6">
        <f>IFERROR(N38/L38,"")</f>
        <v/>
      </c>
    </row>
    <row r="39">
      <c r="A39" s="2" t="n">
        <v>46262</v>
      </c>
      <c r="B39" s="3" t="n">
        <v>0.6194560185185185</v>
      </c>
      <c r="C39" s="43" t="inlineStr">
        <is>
          <t>Ziraat Katılım</t>
        </is>
      </c>
      <c r="D39" s="5" t="n">
        <v>47.7166</v>
      </c>
      <c r="E39" s="5" t="n">
        <v>48.7128</v>
      </c>
      <c r="F39" s="5">
        <f>IF(OR(D39="",E39=""),"",E39-D39)</f>
        <v/>
      </c>
      <c r="G39" s="6">
        <f>IFERROR(F39/D39,"")</f>
        <v/>
      </c>
      <c r="H39" s="5" t="n">
        <v>55.5268</v>
      </c>
      <c r="I39" s="5" t="n">
        <v>56.7421</v>
      </c>
      <c r="J39" s="5">
        <f>IF(OR(H39="",I39=""),"",I39-H39)</f>
        <v/>
      </c>
      <c r="K39" s="6">
        <f>IFERROR(J39/H39,"")</f>
        <v/>
      </c>
      <c r="L39" s="5" t="n">
        <v>7043.89</v>
      </c>
      <c r="M39" s="5" t="n">
        <v>7267.41</v>
      </c>
      <c r="N39" s="5">
        <f>IF(OR(L39="",M39=""),"",M39-L39)</f>
        <v/>
      </c>
      <c r="O39" s="6">
        <f>IFERROR(N39/L39,"")</f>
        <v/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2" t="n">
        <v>46262</v>
      </c>
      <c r="B2" s="3" t="n">
        <v>0.5570949074074074</v>
      </c>
      <c r="C2" s="4" t="inlineStr">
        <is>
          <t>Akbank</t>
        </is>
      </c>
      <c r="D2" t="inlineStr">
        <is>
          <t>DOLAR</t>
        </is>
      </c>
      <c r="E2" s="5" t="n">
        <v>47.354</v>
      </c>
      <c r="F2" s="5" t="n">
        <v>48.704</v>
      </c>
      <c r="G2" s="5">
        <f>IF(OR(E2="",F2=""),"",F2-E2)</f>
        <v/>
      </c>
      <c r="H2" s="6">
        <f>IFERROR(G2/E2,"")</f>
        <v/>
      </c>
      <c r="I2" s="44" t="inlineStr">
        <is>
          <t>DOĞRU</t>
        </is>
      </c>
      <c r="J2" s="45" t="inlineStr">
        <is>
          <t>https://kur.doviz.com/serbest-piyasa/amerikan-dolari</t>
        </is>
      </c>
      <c r="K2" s="5" t="n">
        <v>1.35</v>
      </c>
      <c r="L2" s="6" t="n">
        <v>0.0285</v>
      </c>
      <c r="M2" s="46" t="inlineStr"/>
      <c r="N2" s="47" t="n">
        <v>0.5572569444444444</v>
      </c>
    </row>
    <row r="3">
      <c r="A3" s="2" t="n">
        <v>46262</v>
      </c>
      <c r="B3" s="3" t="n">
        <v>0.5665625</v>
      </c>
      <c r="C3" s="4" t="inlineStr">
        <is>
          <t>Akbank</t>
        </is>
      </c>
      <c r="D3" t="inlineStr">
        <is>
          <t>DOLAR</t>
        </is>
      </c>
      <c r="E3" s="5" t="n">
        <v>47.354</v>
      </c>
      <c r="F3" s="5" t="n">
        <v>48.704</v>
      </c>
      <c r="G3" s="5">
        <f>IF(OR(E3="",F3=""),"",F3-E3)</f>
        <v/>
      </c>
      <c r="H3" s="6">
        <f>IFERROR(G3/E3,"")</f>
        <v/>
      </c>
      <c r="I3" s="44" t="inlineStr">
        <is>
          <t>DOĞRU</t>
        </is>
      </c>
      <c r="J3" s="45" t="inlineStr">
        <is>
          <t>https://kur.doviz.com/serbest-piyasa/amerikan-dolari</t>
        </is>
      </c>
      <c r="K3" s="5" t="n">
        <v>1.35</v>
      </c>
      <c r="L3" s="6" t="n">
        <v>0.0285</v>
      </c>
      <c r="M3" s="46" t="inlineStr"/>
      <c r="N3" s="47" t="n">
        <v>0.5667592592592593</v>
      </c>
    </row>
    <row r="4">
      <c r="A4" s="2" t="n">
        <v>46262</v>
      </c>
      <c r="B4" s="3" t="n">
        <v>0.6021875</v>
      </c>
      <c r="C4" s="4" t="inlineStr">
        <is>
          <t>Akbank</t>
        </is>
      </c>
      <c r="D4" t="inlineStr">
        <is>
          <t>DOLAR</t>
        </is>
      </c>
      <c r="E4" s="5" t="n">
        <v>47.354</v>
      </c>
      <c r="F4" s="5" t="n">
        <v>48.704</v>
      </c>
      <c r="G4" s="5">
        <f>IF(OR(E4="",F4=""),"",F4-E4)</f>
        <v/>
      </c>
      <c r="H4" s="6">
        <f>IFERROR(G4/E4,"")</f>
        <v/>
      </c>
      <c r="I4" s="44" t="inlineStr">
        <is>
          <t>DOĞRU</t>
        </is>
      </c>
      <c r="J4" s="45" t="inlineStr">
        <is>
          <t>https://kur.doviz.com/serbest-piyasa/amerikan-dolari</t>
        </is>
      </c>
      <c r="K4" s="5" t="n">
        <v>1.35</v>
      </c>
      <c r="L4" s="6" t="n">
        <v>0.0285</v>
      </c>
      <c r="M4" s="46" t="inlineStr"/>
      <c r="N4" s="47" t="n">
        <v>0.6023379629629629</v>
      </c>
    </row>
    <row r="5">
      <c r="A5" s="2" t="n">
        <v>46262</v>
      </c>
      <c r="B5" s="3" t="n">
        <v>0.6194560185185185</v>
      </c>
      <c r="C5" s="4" t="inlineStr">
        <is>
          <t>Akbank</t>
        </is>
      </c>
      <c r="D5" t="inlineStr">
        <is>
          <t>DOLAR</t>
        </is>
      </c>
      <c r="E5" s="5" t="n">
        <v>47.354</v>
      </c>
      <c r="F5" s="5" t="n">
        <v>48.704</v>
      </c>
      <c r="G5" s="5">
        <f>IF(OR(E5="",F5=""),"",F5-E5)</f>
        <v/>
      </c>
      <c r="H5" s="6">
        <f>IFERROR(G5/E5,"")</f>
        <v/>
      </c>
      <c r="I5" s="44" t="inlineStr">
        <is>
          <t>DOĞRU</t>
        </is>
      </c>
      <c r="J5" s="45" t="inlineStr">
        <is>
          <t>https://kur.doviz.com/serbest-piyasa/amerikan-dolari</t>
        </is>
      </c>
      <c r="K5" s="5" t="n">
        <v>1.35</v>
      </c>
      <c r="L5" s="6" t="n">
        <v>0.0285</v>
      </c>
      <c r="M5" s="46" t="inlineStr"/>
      <c r="N5" s="47" t="n">
        <v>0.6196180555555556</v>
      </c>
    </row>
    <row r="6">
      <c r="A6" s="2" t="n">
        <v>46262</v>
      </c>
      <c r="B6" s="3" t="n">
        <v>0.5570949074074074</v>
      </c>
      <c r="C6" s="4" t="inlineStr">
        <is>
          <t>Akbank</t>
        </is>
      </c>
      <c r="D6" t="inlineStr">
        <is>
          <t>EURO</t>
        </is>
      </c>
      <c r="E6" s="5" t="n">
        <v>55.1299</v>
      </c>
      <c r="F6" s="5" t="n">
        <v>56.7016</v>
      </c>
      <c r="G6" s="5">
        <f>IF(OR(E6="",F6=""),"",F6-E6)</f>
        <v/>
      </c>
      <c r="H6" s="6">
        <f>IFERROR(G6/E6,"")</f>
        <v/>
      </c>
      <c r="I6" s="44" t="inlineStr">
        <is>
          <t>DOĞRU</t>
        </is>
      </c>
      <c r="J6" s="45" t="inlineStr">
        <is>
          <t>https://kur.doviz.com/serbest-piyasa/euro</t>
        </is>
      </c>
      <c r="K6" s="5" t="n">
        <v>1.5717</v>
      </c>
      <c r="L6" s="6" t="n">
        <v>0.0285</v>
      </c>
      <c r="M6" s="46" t="inlineStr"/>
      <c r="N6" s="47" t="n">
        <v>0.5574074074074075</v>
      </c>
    </row>
    <row r="7">
      <c r="A7" s="2" t="n">
        <v>46262</v>
      </c>
      <c r="B7" s="3" t="n">
        <v>0.5665625</v>
      </c>
      <c r="C7" s="4" t="inlineStr">
        <is>
          <t>Akbank</t>
        </is>
      </c>
      <c r="D7" t="inlineStr">
        <is>
          <t>EURO</t>
        </is>
      </c>
      <c r="E7" s="5" t="n">
        <v>55.1391</v>
      </c>
      <c r="F7" s="5" t="n">
        <v>56.7159</v>
      </c>
      <c r="G7" s="5">
        <f>IF(OR(E7="",F7=""),"",F7-E7)</f>
        <v/>
      </c>
      <c r="H7" s="6">
        <f>IFERROR(G7/E7,"")</f>
        <v/>
      </c>
      <c r="I7" s="44" t="inlineStr">
        <is>
          <t>DOĞRU</t>
        </is>
      </c>
      <c r="J7" s="45" t="inlineStr">
        <is>
          <t>https://kur.doviz.com/serbest-piyasa/euro</t>
        </is>
      </c>
      <c r="K7" s="5" t="n">
        <v>1.5768</v>
      </c>
      <c r="L7" s="6" t="n">
        <v>0.0286</v>
      </c>
      <c r="M7" s="46" t="inlineStr"/>
      <c r="N7" s="47" t="n">
        <v>0.5669097222222222</v>
      </c>
    </row>
    <row r="8">
      <c r="A8" s="2" t="n">
        <v>46262</v>
      </c>
      <c r="B8" s="3" t="n">
        <v>0.6021875</v>
      </c>
      <c r="C8" s="4" t="inlineStr">
        <is>
          <t>Akbank</t>
        </is>
      </c>
      <c r="D8" t="inlineStr">
        <is>
          <t>EURO</t>
        </is>
      </c>
      <c r="E8" s="5" t="n">
        <v>55.1535</v>
      </c>
      <c r="F8" s="5" t="n">
        <v>56.7258</v>
      </c>
      <c r="G8" s="5">
        <f>IF(OR(E8="",F8=""),"",F8-E8)</f>
        <v/>
      </c>
      <c r="H8" s="6">
        <f>IFERROR(G8/E8,"")</f>
        <v/>
      </c>
      <c r="I8" s="44" t="inlineStr">
        <is>
          <t>DOĞRU</t>
        </is>
      </c>
      <c r="J8" s="45" t="inlineStr">
        <is>
          <t>https://kur.doviz.com/serbest-piyasa/euro</t>
        </is>
      </c>
      <c r="K8" s="5" t="n">
        <v>1.5723</v>
      </c>
      <c r="L8" s="6" t="n">
        <v>0.0285</v>
      </c>
      <c r="M8" s="46" t="inlineStr"/>
      <c r="N8" s="47" t="n">
        <v>0.6024884259259259</v>
      </c>
    </row>
    <row r="9">
      <c r="A9" s="2" t="n">
        <v>46262</v>
      </c>
      <c r="B9" s="3" t="n">
        <v>0.6194560185185185</v>
      </c>
      <c r="C9" s="4" t="inlineStr">
        <is>
          <t>Akbank</t>
        </is>
      </c>
      <c r="D9" t="inlineStr">
        <is>
          <t>EURO</t>
        </is>
      </c>
      <c r="E9" s="5" t="n">
        <v>55.144</v>
      </c>
      <c r="F9" s="5" t="n">
        <v>56.7209</v>
      </c>
      <c r="G9" s="5">
        <f>IF(OR(E9="",F9=""),"",F9-E9)</f>
        <v/>
      </c>
      <c r="H9" s="6">
        <f>IFERROR(G9/E9,"")</f>
        <v/>
      </c>
      <c r="I9" s="44" t="inlineStr">
        <is>
          <t>DOĞRU</t>
        </is>
      </c>
      <c r="J9" s="45" t="inlineStr">
        <is>
          <t>https://kur.doviz.com/serbest-piyasa/euro</t>
        </is>
      </c>
      <c r="K9" s="5" t="n">
        <v>1.58</v>
      </c>
      <c r="L9" s="6" t="n">
        <v>0.0286</v>
      </c>
      <c r="M9" s="46" t="inlineStr"/>
      <c r="N9" s="47" t="n">
        <v>0.6196990740740741</v>
      </c>
    </row>
    <row r="10">
      <c r="A10" s="2" t="n">
        <v>46262</v>
      </c>
      <c r="B10" s="3" t="n">
        <v>0.5570949074074074</v>
      </c>
      <c r="C10" s="4" t="inlineStr">
        <is>
          <t>Akbank</t>
        </is>
      </c>
      <c r="D10" t="inlineStr">
        <is>
          <t>GRAM_ALTIN</t>
        </is>
      </c>
      <c r="E10" s="5" t="n">
        <v>6943.27</v>
      </c>
      <c r="F10" s="5" t="n">
        <v>7194.86</v>
      </c>
      <c r="G10" s="5">
        <f>IF(OR(E10="",F10=""),"",F10-E10)</f>
        <v/>
      </c>
      <c r="H10" s="6">
        <f>IFERROR(G10/E10,"")</f>
        <v/>
      </c>
      <c r="I10" s="44" t="inlineStr">
        <is>
          <t>DOĞRU</t>
        </is>
      </c>
      <c r="J10" s="45" t="inlineStr">
        <is>
          <t>https://altin.doviz.com/gram-altin</t>
        </is>
      </c>
      <c r="K10" s="5" t="n">
        <v>251.59</v>
      </c>
      <c r="L10" s="6" t="n">
        <v>0.0362</v>
      </c>
      <c r="M10" s="46" t="inlineStr"/>
      <c r="N10" s="47" t="n">
        <v>0.5575578703703704</v>
      </c>
    </row>
    <row r="11">
      <c r="A11" s="2" t="n">
        <v>46262</v>
      </c>
      <c r="B11" s="3" t="n">
        <v>0.5665625</v>
      </c>
      <c r="C11" s="4" t="inlineStr">
        <is>
          <t>Akbank</t>
        </is>
      </c>
      <c r="D11" t="inlineStr">
        <is>
          <t>GRAM_ALTIN</t>
        </is>
      </c>
      <c r="E11" s="5" t="n">
        <v>6944.15</v>
      </c>
      <c r="F11" s="5" t="n">
        <v>7195.74</v>
      </c>
      <c r="G11" s="5">
        <f>IF(OR(E11="",F11=""),"",F11-E11)</f>
        <v/>
      </c>
      <c r="H11" s="6">
        <f>IFERROR(G11/E11,"")</f>
        <v/>
      </c>
      <c r="I11" s="44" t="inlineStr">
        <is>
          <t>DOĞRU</t>
        </is>
      </c>
      <c r="J11" s="45" t="inlineStr">
        <is>
          <t>https://altin.doviz.com/gram-altin</t>
        </is>
      </c>
      <c r="K11" s="5" t="n">
        <v>251.59</v>
      </c>
      <c r="L11" s="6" t="n">
        <v>0.0362</v>
      </c>
      <c r="M11" s="46" t="inlineStr"/>
      <c r="N11" s="47" t="n">
        <v>0.5670601851851852</v>
      </c>
    </row>
    <row r="12">
      <c r="A12" s="2" t="n">
        <v>46262</v>
      </c>
      <c r="B12" s="3" t="n">
        <v>0.6021875</v>
      </c>
      <c r="C12" s="4" t="inlineStr">
        <is>
          <t>Akbank</t>
        </is>
      </c>
      <c r="D12" t="inlineStr">
        <is>
          <t>GRAM_ALTIN</t>
        </is>
      </c>
      <c r="E12" s="5" t="n">
        <v>6933.75</v>
      </c>
      <c r="F12" s="5" t="n">
        <v>7184.99</v>
      </c>
      <c r="G12" s="5">
        <f>IF(OR(E12="",F12=""),"",F12-E12)</f>
        <v/>
      </c>
      <c r="H12" s="6">
        <f>IFERROR(G12/E12,"")</f>
        <v/>
      </c>
      <c r="I12" s="44" t="inlineStr">
        <is>
          <t>DOĞRU</t>
        </is>
      </c>
      <c r="J12" s="45" t="inlineStr">
        <is>
          <t>https://altin.doviz.com/gram-altin</t>
        </is>
      </c>
      <c r="K12" s="5" t="n">
        <v>251.23</v>
      </c>
      <c r="L12" s="6" t="n">
        <v>0.0362</v>
      </c>
      <c r="M12" s="46" t="inlineStr"/>
      <c r="N12" s="47" t="n">
        <v>0.6026388888888888</v>
      </c>
    </row>
    <row r="13">
      <c r="A13" s="2" t="n">
        <v>46262</v>
      </c>
      <c r="B13" s="3" t="n">
        <v>0.6194560185185185</v>
      </c>
      <c r="C13" s="4" t="inlineStr">
        <is>
          <t>Akbank</t>
        </is>
      </c>
      <c r="D13" t="inlineStr">
        <is>
          <t>GRAM_ALTIN</t>
        </is>
      </c>
      <c r="E13" s="5" t="n">
        <v>6925.18</v>
      </c>
      <c r="F13" s="5" t="n">
        <v>7176.14</v>
      </c>
      <c r="G13" s="5">
        <f>IF(OR(E13="",F13=""),"",F13-E13)</f>
        <v/>
      </c>
      <c r="H13" s="6">
        <f>IFERROR(G13/E13,"")</f>
        <v/>
      </c>
      <c r="I13" s="44" t="inlineStr">
        <is>
          <t>DOĞRU</t>
        </is>
      </c>
      <c r="J13" s="45" t="inlineStr">
        <is>
          <t>https://altin.doviz.com/gram-altin</t>
        </is>
      </c>
      <c r="K13" s="5" t="n">
        <v>250.96</v>
      </c>
      <c r="L13" s="6" t="n">
        <v>0.0362</v>
      </c>
      <c r="M13" s="46" t="inlineStr"/>
      <c r="N13" s="47" t="n">
        <v>0.619849537037037</v>
      </c>
    </row>
    <row r="14">
      <c r="A14" s="2" t="n">
        <v>46262</v>
      </c>
      <c r="B14" s="3" t="n">
        <v>0.5570949074074074</v>
      </c>
      <c r="C14" s="7" t="inlineStr">
        <is>
          <t>Albaraka Türk</t>
        </is>
      </c>
      <c r="D14" t="inlineStr">
        <is>
          <t>DOLAR</t>
        </is>
      </c>
      <c r="E14" s="5" t="n">
        <v>47.845</v>
      </c>
      <c r="F14" s="5" t="n">
        <v>48.625</v>
      </c>
      <c r="G14" s="5">
        <f>IF(OR(E14="",F14=""),"",F14-E14)</f>
        <v/>
      </c>
      <c r="H14" s="6">
        <f>IFERROR(G14/E14,"")</f>
        <v/>
      </c>
      <c r="I14" s="44" t="inlineStr">
        <is>
          <t>DOĞRU</t>
        </is>
      </c>
      <c r="J14" s="45" t="inlineStr">
        <is>
          <t>https://kur.doviz.com/serbest-piyasa/amerikan-dolari</t>
        </is>
      </c>
      <c r="K14" s="5" t="n">
        <v>0.78</v>
      </c>
      <c r="L14" s="6" t="n">
        <v>0.0163</v>
      </c>
      <c r="M14" s="46" t="inlineStr"/>
      <c r="N14" s="47" t="n">
        <v>0.5572569444444444</v>
      </c>
    </row>
    <row r="15">
      <c r="A15" s="2" t="n">
        <v>46262</v>
      </c>
      <c r="B15" s="3" t="n">
        <v>0.5665625</v>
      </c>
      <c r="C15" s="7" t="inlineStr">
        <is>
          <t>Albaraka Türk</t>
        </is>
      </c>
      <c r="D15" t="inlineStr">
        <is>
          <t>DOLAR</t>
        </is>
      </c>
      <c r="E15" s="5" t="n">
        <v>47.844</v>
      </c>
      <c r="F15" s="5" t="n">
        <v>48.625</v>
      </c>
      <c r="G15" s="5">
        <f>IF(OR(E15="",F15=""),"",F15-E15)</f>
        <v/>
      </c>
      <c r="H15" s="6">
        <f>IFERROR(G15/E15,"")</f>
        <v/>
      </c>
      <c r="I15" s="44" t="inlineStr">
        <is>
          <t>DOĞRU</t>
        </is>
      </c>
      <c r="J15" s="45" t="inlineStr">
        <is>
          <t>https://kur.doviz.com/serbest-piyasa/amerikan-dolari</t>
        </is>
      </c>
      <c r="K15" s="5" t="n">
        <v>0.781</v>
      </c>
      <c r="L15" s="6" t="n">
        <v>0.0163</v>
      </c>
      <c r="M15" s="46" t="inlineStr"/>
      <c r="N15" s="47" t="n">
        <v>0.5667592592592593</v>
      </c>
    </row>
    <row r="16">
      <c r="A16" s="2" t="n">
        <v>46262</v>
      </c>
      <c r="B16" s="3" t="n">
        <v>0.6021875</v>
      </c>
      <c r="C16" s="7" t="inlineStr">
        <is>
          <t>Albaraka Türk</t>
        </is>
      </c>
      <c r="D16" t="inlineStr">
        <is>
          <t>DOLAR</t>
        </is>
      </c>
      <c r="E16" s="5" t="n">
        <v>47.844</v>
      </c>
      <c r="F16" s="5" t="n">
        <v>48.625</v>
      </c>
      <c r="G16" s="5">
        <f>IF(OR(E16="",F16=""),"",F16-E16)</f>
        <v/>
      </c>
      <c r="H16" s="6">
        <f>IFERROR(G16/E16,"")</f>
        <v/>
      </c>
      <c r="I16" s="44" t="inlineStr">
        <is>
          <t>DOĞRU</t>
        </is>
      </c>
      <c r="J16" s="45" t="inlineStr">
        <is>
          <t>https://kur.doviz.com/serbest-piyasa/amerikan-dolari</t>
        </is>
      </c>
      <c r="K16" s="5" t="n">
        <v>0.781</v>
      </c>
      <c r="L16" s="6" t="n">
        <v>0.0163</v>
      </c>
      <c r="M16" s="46" t="inlineStr"/>
      <c r="N16" s="47" t="n">
        <v>0.6023379629629629</v>
      </c>
    </row>
    <row r="17">
      <c r="A17" s="2" t="n">
        <v>46262</v>
      </c>
      <c r="B17" s="3" t="n">
        <v>0.6194560185185185</v>
      </c>
      <c r="C17" s="7" t="inlineStr">
        <is>
          <t>Albaraka Türk</t>
        </is>
      </c>
      <c r="D17" t="inlineStr">
        <is>
          <t>DOLAR</t>
        </is>
      </c>
      <c r="E17" s="5" t="n">
        <v>47.844</v>
      </c>
      <c r="F17" s="5" t="n">
        <v>48.625</v>
      </c>
      <c r="G17" s="5">
        <f>IF(OR(E17="",F17=""),"",F17-E17)</f>
        <v/>
      </c>
      <c r="H17" s="6">
        <f>IFERROR(G17/E17,"")</f>
        <v/>
      </c>
      <c r="I17" s="44" t="inlineStr">
        <is>
          <t>DOĞRU</t>
        </is>
      </c>
      <c r="J17" s="45" t="inlineStr">
        <is>
          <t>https://kur.doviz.com/serbest-piyasa/amerikan-dolari</t>
        </is>
      </c>
      <c r="K17" s="5" t="n">
        <v>0.781</v>
      </c>
      <c r="L17" s="6" t="n">
        <v>0.0163</v>
      </c>
      <c r="M17" s="46" t="inlineStr"/>
      <c r="N17" s="47" t="n">
        <v>0.6196180555555556</v>
      </c>
    </row>
    <row r="18">
      <c r="A18" s="2" t="n">
        <v>46262</v>
      </c>
      <c r="B18" s="3" t="n">
        <v>0.5570949074074074</v>
      </c>
      <c r="C18" s="7" t="inlineStr">
        <is>
          <t>Albaraka Türk</t>
        </is>
      </c>
      <c r="D18" t="inlineStr">
        <is>
          <t>EURO</t>
        </is>
      </c>
      <c r="E18" s="5" t="n">
        <v>55.696</v>
      </c>
      <c r="F18" s="5" t="n">
        <v>56.61</v>
      </c>
      <c r="G18" s="5">
        <f>IF(OR(E18="",F18=""),"",F18-E18)</f>
        <v/>
      </c>
      <c r="H18" s="6">
        <f>IFERROR(G18/E18,"")</f>
        <v/>
      </c>
      <c r="I18" s="44" t="inlineStr">
        <is>
          <t>DOĞRU</t>
        </is>
      </c>
      <c r="J18" s="45" t="inlineStr">
        <is>
          <t>https://kur.doviz.com/serbest-piyasa/euro</t>
        </is>
      </c>
      <c r="K18" s="5" t="n">
        <v>0.914</v>
      </c>
      <c r="L18" s="6" t="n">
        <v>0.0164</v>
      </c>
      <c r="M18" s="46" t="inlineStr"/>
      <c r="N18" s="47" t="n">
        <v>0.5574074074074075</v>
      </c>
    </row>
    <row r="19">
      <c r="A19" s="2" t="n">
        <v>46262</v>
      </c>
      <c r="B19" s="3" t="n">
        <v>0.5665625</v>
      </c>
      <c r="C19" s="7" t="inlineStr">
        <is>
          <t>Albaraka Türk</t>
        </is>
      </c>
      <c r="D19" t="inlineStr">
        <is>
          <t>EURO</t>
        </is>
      </c>
      <c r="E19" s="5" t="n">
        <v>55.714</v>
      </c>
      <c r="F19" s="5" t="n">
        <v>56.634</v>
      </c>
      <c r="G19" s="5">
        <f>IF(OR(E19="",F19=""),"",F19-E19)</f>
        <v/>
      </c>
      <c r="H19" s="6">
        <f>IFERROR(G19/E19,"")</f>
        <v/>
      </c>
      <c r="I19" s="44" t="inlineStr">
        <is>
          <t>DOĞRU</t>
        </is>
      </c>
      <c r="J19" s="45" t="inlineStr">
        <is>
          <t>https://kur.doviz.com/serbest-piyasa/euro</t>
        </is>
      </c>
      <c r="K19" s="5" t="n">
        <v>0.92</v>
      </c>
      <c r="L19" s="6" t="n">
        <v>0.0165</v>
      </c>
      <c r="M19" s="46" t="inlineStr"/>
      <c r="N19" s="47" t="n">
        <v>0.5669097222222222</v>
      </c>
    </row>
    <row r="20">
      <c r="A20" s="2" t="n">
        <v>46262</v>
      </c>
      <c r="B20" s="3" t="n">
        <v>0.6021875</v>
      </c>
      <c r="C20" s="7" t="inlineStr">
        <is>
          <t>Albaraka Türk</t>
        </is>
      </c>
      <c r="D20" t="inlineStr">
        <is>
          <t>EURO</t>
        </is>
      </c>
      <c r="E20" s="5" t="n">
        <v>55.723</v>
      </c>
      <c r="F20" s="5" t="n">
        <v>56.639</v>
      </c>
      <c r="G20" s="5">
        <f>IF(OR(E20="",F20=""),"",F20-E20)</f>
        <v/>
      </c>
      <c r="H20" s="6">
        <f>IFERROR(G20/E20,"")</f>
        <v/>
      </c>
      <c r="I20" s="44" t="inlineStr">
        <is>
          <t>DOĞRU</t>
        </is>
      </c>
      <c r="J20" s="45" t="inlineStr">
        <is>
          <t>https://kur.doviz.com/serbest-piyasa/euro</t>
        </is>
      </c>
      <c r="K20" s="5" t="n">
        <v>0.916</v>
      </c>
      <c r="L20" s="6" t="n">
        <v>0.0164</v>
      </c>
      <c r="M20" s="46" t="inlineStr"/>
      <c r="N20" s="47" t="n">
        <v>0.6024884259259259</v>
      </c>
    </row>
    <row r="21">
      <c r="A21" s="2" t="n">
        <v>46262</v>
      </c>
      <c r="B21" s="3" t="n">
        <v>0.6194560185185185</v>
      </c>
      <c r="C21" s="7" t="inlineStr">
        <is>
          <t>Albaraka Türk</t>
        </is>
      </c>
      <c r="D21" t="inlineStr">
        <is>
          <t>EURO</t>
        </is>
      </c>
      <c r="E21" s="5" t="n">
        <v>55.714</v>
      </c>
      <c r="F21" s="5" t="n">
        <v>56.634</v>
      </c>
      <c r="G21" s="5">
        <f>IF(OR(E21="",F21=""),"",F21-E21)</f>
        <v/>
      </c>
      <c r="H21" s="6">
        <f>IFERROR(G21/E21,"")</f>
        <v/>
      </c>
      <c r="I21" s="44" t="inlineStr">
        <is>
          <t>DOĞRU</t>
        </is>
      </c>
      <c r="J21" s="45" t="inlineStr">
        <is>
          <t>https://kur.doviz.com/serbest-piyasa/euro</t>
        </is>
      </c>
      <c r="K21" s="5" t="n">
        <v>0.92</v>
      </c>
      <c r="L21" s="6" t="n">
        <v>0.0165</v>
      </c>
      <c r="M21" s="46" t="inlineStr"/>
      <c r="N21" s="47" t="n">
        <v>0.6196990740740741</v>
      </c>
    </row>
    <row r="22">
      <c r="A22" s="2" t="n">
        <v>46262</v>
      </c>
      <c r="B22" s="3" t="n">
        <v>0.5570949074074074</v>
      </c>
      <c r="C22" s="7" t="inlineStr">
        <is>
          <t>Albaraka Türk</t>
        </is>
      </c>
      <c r="D22" t="inlineStr">
        <is>
          <t>GRAM_ALTIN</t>
        </is>
      </c>
      <c r="E22" s="5" t="n">
        <v>7033.82</v>
      </c>
      <c r="F22" s="5" t="n">
        <v>7178.15</v>
      </c>
      <c r="G22" s="5">
        <f>IF(OR(E22="",F22=""),"",F22-E22)</f>
        <v/>
      </c>
      <c r="H22" s="6">
        <f>IFERROR(G22/E22,"")</f>
        <v/>
      </c>
      <c r="I22" s="44" t="inlineStr">
        <is>
          <t>DOĞRU</t>
        </is>
      </c>
      <c r="J22" s="45" t="inlineStr">
        <is>
          <t>https://altin.doviz.com/gram-altin</t>
        </is>
      </c>
      <c r="K22" s="5" t="n">
        <v>144.34</v>
      </c>
      <c r="L22" s="6" t="n">
        <v>0.0205</v>
      </c>
      <c r="M22" s="46" t="inlineStr"/>
      <c r="N22" s="47" t="n">
        <v>0.5575578703703704</v>
      </c>
    </row>
    <row r="23">
      <c r="A23" s="2" t="n">
        <v>46262</v>
      </c>
      <c r="B23" s="3" t="n">
        <v>0.5665625</v>
      </c>
      <c r="C23" s="7" t="inlineStr">
        <is>
          <t>Albaraka Türk</t>
        </is>
      </c>
      <c r="D23" t="inlineStr">
        <is>
          <t>GRAM_ALTIN</t>
        </is>
      </c>
      <c r="E23" s="5" t="n">
        <v>7036.42</v>
      </c>
      <c r="F23" s="5" t="n">
        <v>7181.67</v>
      </c>
      <c r="G23" s="5">
        <f>IF(OR(E23="",F23=""),"",F23-E23)</f>
        <v/>
      </c>
      <c r="H23" s="6">
        <f>IFERROR(G23/E23,"")</f>
        <v/>
      </c>
      <c r="I23" s="44" t="inlineStr">
        <is>
          <t>DOĞRU</t>
        </is>
      </c>
      <c r="J23" s="45" t="inlineStr">
        <is>
          <t>https://altin.doviz.com/gram-altin</t>
        </is>
      </c>
      <c r="K23" s="5" t="n">
        <v>145.26</v>
      </c>
      <c r="L23" s="6" t="n">
        <v>0.0206</v>
      </c>
      <c r="M23" s="46" t="inlineStr"/>
      <c r="N23" s="47" t="n">
        <v>0.5670601851851852</v>
      </c>
    </row>
    <row r="24">
      <c r="A24" s="2" t="n">
        <v>46262</v>
      </c>
      <c r="B24" s="3" t="n">
        <v>0.6021875</v>
      </c>
      <c r="C24" s="7" t="inlineStr">
        <is>
          <t>Albaraka Türk</t>
        </is>
      </c>
      <c r="D24" t="inlineStr">
        <is>
          <t>GRAM_ALTIN</t>
        </is>
      </c>
      <c r="E24" s="5" t="n">
        <v>7026.35</v>
      </c>
      <c r="F24" s="5" t="n">
        <v>7170.47</v>
      </c>
      <c r="G24" s="5">
        <f>IF(OR(E24="",F24=""),"",F24-E24)</f>
        <v/>
      </c>
      <c r="H24" s="6">
        <f>IFERROR(G24/E24,"")</f>
        <v/>
      </c>
      <c r="I24" s="44" t="inlineStr">
        <is>
          <t>DOĞRU</t>
        </is>
      </c>
      <c r="J24" s="45" t="inlineStr">
        <is>
          <t>https://altin.doviz.com/gram-altin</t>
        </is>
      </c>
      <c r="K24" s="5" t="n">
        <v>144.11</v>
      </c>
      <c r="L24" s="6" t="n">
        <v>0.0205</v>
      </c>
      <c r="M24" s="46" t="inlineStr"/>
      <c r="N24" s="47" t="n">
        <v>0.6026388888888888</v>
      </c>
    </row>
    <row r="25">
      <c r="A25" s="2" t="n">
        <v>46262</v>
      </c>
      <c r="B25" s="3" t="n">
        <v>0.6194560185185185</v>
      </c>
      <c r="C25" s="7" t="inlineStr">
        <is>
          <t>Albaraka Türk</t>
        </is>
      </c>
      <c r="D25" t="inlineStr">
        <is>
          <t>GRAM_ALTIN</t>
        </is>
      </c>
      <c r="E25" s="5" t="n">
        <v>7017.4</v>
      </c>
      <c r="F25" s="5" t="n">
        <v>7161.54</v>
      </c>
      <c r="G25" s="5">
        <f>IF(OR(E25="",F25=""),"",F25-E25)</f>
        <v/>
      </c>
      <c r="H25" s="6">
        <f>IFERROR(G25/E25,"")</f>
        <v/>
      </c>
      <c r="I25" s="44" t="inlineStr">
        <is>
          <t>DOĞRU</t>
        </is>
      </c>
      <c r="J25" s="45" t="inlineStr">
        <is>
          <t>https://altin.doviz.com/gram-altin</t>
        </is>
      </c>
      <c r="K25" s="5" t="n">
        <v>144.14</v>
      </c>
      <c r="L25" s="6" t="n">
        <v>0.0205</v>
      </c>
      <c r="M25" s="46" t="inlineStr"/>
      <c r="N25" s="47" t="n">
        <v>0.619849537037037</v>
      </c>
    </row>
    <row r="26">
      <c r="A26" s="2" t="n">
        <v>46262</v>
      </c>
      <c r="B26" s="3" t="n">
        <v>0.5570949074074074</v>
      </c>
      <c r="C26" s="8" t="inlineStr">
        <is>
          <t>Alternatif Bank</t>
        </is>
      </c>
      <c r="D26" t="inlineStr">
        <is>
          <t>DOLAR</t>
        </is>
      </c>
      <c r="E26" s="5" t="n">
        <v>48.028</v>
      </c>
      <c r="F26" s="5" t="n">
        <v>48.322</v>
      </c>
      <c r="G26" s="5">
        <f>IF(OR(E26="",F26=""),"",F26-E26)</f>
        <v/>
      </c>
      <c r="H26" s="6">
        <f>IFERROR(G26/E26,"")</f>
        <v/>
      </c>
      <c r="I26" s="44" t="inlineStr">
        <is>
          <t>DOĞRU</t>
        </is>
      </c>
      <c r="J26" s="45" t="inlineStr">
        <is>
          <t>https://kur.doviz.com/serbest-piyasa/amerikan-dolari</t>
        </is>
      </c>
      <c r="K26" s="5" t="n">
        <v>0.294</v>
      </c>
      <c r="L26" s="6" t="n">
        <v>0.0061</v>
      </c>
      <c r="M26" s="46" t="inlineStr"/>
      <c r="N26" s="47" t="n">
        <v>0.5572569444444444</v>
      </c>
    </row>
    <row r="27">
      <c r="A27" s="2" t="n">
        <v>46262</v>
      </c>
      <c r="B27" s="3" t="n">
        <v>0.5665625</v>
      </c>
      <c r="C27" s="8" t="inlineStr">
        <is>
          <t>Alternatif Bank</t>
        </is>
      </c>
      <c r="D27" t="inlineStr">
        <is>
          <t>DOLAR</t>
        </is>
      </c>
      <c r="E27" s="5" t="n">
        <v>48.032</v>
      </c>
      <c r="F27" s="5" t="n">
        <v>48.319</v>
      </c>
      <c r="G27" s="5">
        <f>IF(OR(E27="",F27=""),"",F27-E27)</f>
        <v/>
      </c>
      <c r="H27" s="6">
        <f>IFERROR(G27/E27,"")</f>
        <v/>
      </c>
      <c r="I27" s="44" t="inlineStr">
        <is>
          <t>DOĞRU</t>
        </is>
      </c>
      <c r="J27" s="45" t="inlineStr">
        <is>
          <t>https://kur.doviz.com/serbest-piyasa/amerikan-dolari</t>
        </is>
      </c>
      <c r="K27" s="5" t="n">
        <v>0.287</v>
      </c>
      <c r="L27" s="6" t="n">
        <v>0.006</v>
      </c>
      <c r="M27" s="46" t="inlineStr"/>
      <c r="N27" s="47" t="n">
        <v>0.5667592592592593</v>
      </c>
    </row>
    <row r="28">
      <c r="A28" s="2" t="n">
        <v>46262</v>
      </c>
      <c r="B28" s="3" t="n">
        <v>0.6021875</v>
      </c>
      <c r="C28" s="8" t="inlineStr">
        <is>
          <t>Alternatif Bank</t>
        </is>
      </c>
      <c r="D28" t="inlineStr">
        <is>
          <t>DOLAR</t>
        </is>
      </c>
      <c r="E28" s="5" t="n">
        <v>48.027</v>
      </c>
      <c r="F28" s="5" t="n">
        <v>48.322</v>
      </c>
      <c r="G28" s="5">
        <f>IF(OR(E28="",F28=""),"",F28-E28)</f>
        <v/>
      </c>
      <c r="H28" s="6">
        <f>IFERROR(G28/E28,"")</f>
        <v/>
      </c>
      <c r="I28" s="44" t="inlineStr">
        <is>
          <t>DOĞRU</t>
        </is>
      </c>
      <c r="J28" s="45" t="inlineStr">
        <is>
          <t>https://kur.doviz.com/serbest-piyasa/amerikan-dolari</t>
        </is>
      </c>
      <c r="K28" s="5" t="n">
        <v>0.295</v>
      </c>
      <c r="L28" s="6" t="n">
        <v>0.0061</v>
      </c>
      <c r="M28" s="46" t="inlineStr"/>
      <c r="N28" s="47" t="n">
        <v>0.6023379629629629</v>
      </c>
    </row>
    <row r="29">
      <c r="A29" s="2" t="n">
        <v>46262</v>
      </c>
      <c r="B29" s="3" t="n">
        <v>0.6194560185185185</v>
      </c>
      <c r="C29" s="8" t="inlineStr">
        <is>
          <t>Alternatif Bank</t>
        </is>
      </c>
      <c r="D29" t="inlineStr">
        <is>
          <t>DOLAR</t>
        </is>
      </c>
      <c r="E29" s="5" t="n">
        <v>48.028</v>
      </c>
      <c r="F29" s="5" t="n">
        <v>48.322</v>
      </c>
      <c r="G29" s="5">
        <f>IF(OR(E29="",F29=""),"",F29-E29)</f>
        <v/>
      </c>
      <c r="H29" s="6">
        <f>IFERROR(G29/E29,"")</f>
        <v/>
      </c>
      <c r="I29" s="44" t="inlineStr">
        <is>
          <t>DOĞRU</t>
        </is>
      </c>
      <c r="J29" s="45" t="inlineStr">
        <is>
          <t>https://kur.doviz.com/serbest-piyasa/amerikan-dolari</t>
        </is>
      </c>
      <c r="K29" s="5" t="n">
        <v>0.294</v>
      </c>
      <c r="L29" s="6" t="n">
        <v>0.0061</v>
      </c>
      <c r="M29" s="46" t="inlineStr"/>
      <c r="N29" s="47" t="n">
        <v>0.6196180555555556</v>
      </c>
    </row>
    <row r="30">
      <c r="A30" s="2" t="n">
        <v>46262</v>
      </c>
      <c r="B30" s="3" t="n">
        <v>0.5570949074074074</v>
      </c>
      <c r="C30" s="8" t="inlineStr">
        <is>
          <t>Alternatif Bank</t>
        </is>
      </c>
      <c r="D30" t="inlineStr">
        <is>
          <t>EURO</t>
        </is>
      </c>
      <c r="E30" s="5" t="n">
        <v>55.742</v>
      </c>
      <c r="F30" s="5" t="n">
        <v>56.26</v>
      </c>
      <c r="G30" s="5">
        <f>IF(OR(E30="",F30=""),"",F30-E30)</f>
        <v/>
      </c>
      <c r="H30" s="6">
        <f>IFERROR(G30/E30,"")</f>
        <v/>
      </c>
      <c r="I30" s="44" t="inlineStr">
        <is>
          <t>DOĞRU</t>
        </is>
      </c>
      <c r="J30" s="45" t="inlineStr">
        <is>
          <t>https://kur.doviz.com/serbest-piyasa/euro</t>
        </is>
      </c>
      <c r="K30" s="5" t="n">
        <v>0.518</v>
      </c>
      <c r="L30" s="6" t="n">
        <v>0.009300000000000001</v>
      </c>
      <c r="M30" s="46" t="inlineStr"/>
      <c r="N30" s="47" t="n">
        <v>0.5574074074074075</v>
      </c>
    </row>
    <row r="31">
      <c r="A31" s="2" t="n">
        <v>46262</v>
      </c>
      <c r="B31" s="3" t="n">
        <v>0.5665625</v>
      </c>
      <c r="C31" s="8" t="inlineStr">
        <is>
          <t>Alternatif Bank</t>
        </is>
      </c>
      <c r="D31" t="inlineStr">
        <is>
          <t>EURO</t>
        </is>
      </c>
      <c r="E31" s="5" t="n">
        <v>55.76</v>
      </c>
      <c r="F31" s="5" t="n">
        <v>56.268</v>
      </c>
      <c r="G31" s="5">
        <f>IF(OR(E31="",F31=""),"",F31-E31)</f>
        <v/>
      </c>
      <c r="H31" s="6">
        <f>IFERROR(G31/E31,"")</f>
        <v/>
      </c>
      <c r="I31" s="44" t="inlineStr">
        <is>
          <t>DOĞRU</t>
        </is>
      </c>
      <c r="J31" s="45" t="inlineStr">
        <is>
          <t>https://kur.doviz.com/serbest-piyasa/euro</t>
        </is>
      </c>
      <c r="K31" s="5" t="n">
        <v>0.508</v>
      </c>
      <c r="L31" s="6" t="n">
        <v>0.0091</v>
      </c>
      <c r="M31" s="46" t="inlineStr"/>
      <c r="N31" s="47" t="n">
        <v>0.5669097222222222</v>
      </c>
    </row>
    <row r="32">
      <c r="A32" s="2" t="n">
        <v>46262</v>
      </c>
      <c r="B32" s="3" t="n">
        <v>0.6021875</v>
      </c>
      <c r="C32" s="8" t="inlineStr">
        <is>
          <t>Alternatif Bank</t>
        </is>
      </c>
      <c r="D32" t="inlineStr">
        <is>
          <t>EURO</t>
        </is>
      </c>
      <c r="E32" s="5" t="n">
        <v>55.757</v>
      </c>
      <c r="F32" s="5" t="n">
        <v>56.277</v>
      </c>
      <c r="G32" s="5">
        <f>IF(OR(E32="",F32=""),"",F32-E32)</f>
        <v/>
      </c>
      <c r="H32" s="6">
        <f>IFERROR(G32/E32,"")</f>
        <v/>
      </c>
      <c r="I32" s="44" t="inlineStr">
        <is>
          <t>DOĞRU</t>
        </is>
      </c>
      <c r="J32" s="45" t="inlineStr">
        <is>
          <t>https://kur.doviz.com/serbest-piyasa/euro</t>
        </is>
      </c>
      <c r="K32" s="5" t="n">
        <v>0.52</v>
      </c>
      <c r="L32" s="6" t="n">
        <v>0.009300000000000001</v>
      </c>
      <c r="M32" s="46" t="inlineStr"/>
      <c r="N32" s="47" t="n">
        <v>0.6024884259259259</v>
      </c>
    </row>
    <row r="33">
      <c r="A33" s="2" t="n">
        <v>46262</v>
      </c>
      <c r="B33" s="3" t="n">
        <v>0.6194560185185185</v>
      </c>
      <c r="C33" s="8" t="inlineStr">
        <is>
          <t>Alternatif Bank</t>
        </is>
      </c>
      <c r="D33" t="inlineStr">
        <is>
          <t>EURO</t>
        </is>
      </c>
      <c r="E33" s="5" t="n">
        <v>55.759</v>
      </c>
      <c r="F33" s="5" t="n">
        <v>56.276</v>
      </c>
      <c r="G33" s="5">
        <f>IF(OR(E33="",F33=""),"",F33-E33)</f>
        <v/>
      </c>
      <c r="H33" s="6">
        <f>IFERROR(G33/E33,"")</f>
        <v/>
      </c>
      <c r="I33" s="44" t="inlineStr">
        <is>
          <t>DOĞRU</t>
        </is>
      </c>
      <c r="J33" s="45" t="inlineStr">
        <is>
          <t>https://kur.doviz.com/serbest-piyasa/euro</t>
        </is>
      </c>
      <c r="K33" s="5" t="n">
        <v>0.52</v>
      </c>
      <c r="L33" s="6" t="n">
        <v>0.009300000000000001</v>
      </c>
      <c r="M33" s="46" t="inlineStr"/>
      <c r="N33" s="47" t="n">
        <v>0.6196990740740741</v>
      </c>
    </row>
    <row r="34">
      <c r="A34" s="2" t="n">
        <v>46262</v>
      </c>
      <c r="B34" s="3" t="n">
        <v>0.5570949074074074</v>
      </c>
      <c r="C34" s="8" t="inlineStr">
        <is>
          <t>Alternatif Bank</t>
        </is>
      </c>
      <c r="D34" t="inlineStr">
        <is>
          <t>GRAM_ALTIN</t>
        </is>
      </c>
      <c r="E34" s="5" t="n">
        <v>7105.59</v>
      </c>
      <c r="F34" s="5" t="n">
        <v>7177.87</v>
      </c>
      <c r="G34" s="5">
        <f>IF(OR(E34="",F34=""),"",F34-E34)</f>
        <v/>
      </c>
      <c r="H34" s="6">
        <f>IFERROR(G34/E34,"")</f>
        <v/>
      </c>
      <c r="I34" s="44" t="inlineStr">
        <is>
          <t>DOĞRU</t>
        </is>
      </c>
      <c r="J34" s="45" t="inlineStr">
        <is>
          <t>https://altin.doviz.com/gram-altin</t>
        </is>
      </c>
      <c r="K34" s="5" t="n">
        <v>72.29000000000001</v>
      </c>
      <c r="L34" s="6" t="n">
        <v>0.0102</v>
      </c>
      <c r="M34" s="46" t="inlineStr"/>
      <c r="N34" s="47" t="n">
        <v>0.5575578703703704</v>
      </c>
    </row>
    <row r="35">
      <c r="A35" s="2" t="n">
        <v>46262</v>
      </c>
      <c r="B35" s="3" t="n">
        <v>0.5665625</v>
      </c>
      <c r="C35" s="8" t="inlineStr">
        <is>
          <t>Alternatif Bank</t>
        </is>
      </c>
      <c r="D35" t="inlineStr">
        <is>
          <t>GRAM_ALTIN</t>
        </is>
      </c>
      <c r="E35" s="5" t="n">
        <v>7102.9</v>
      </c>
      <c r="F35" s="5" t="n">
        <v>7173.72</v>
      </c>
      <c r="G35" s="5">
        <f>IF(OR(E35="",F35=""),"",F35-E35)</f>
        <v/>
      </c>
      <c r="H35" s="6">
        <f>IFERROR(G35/E35,"")</f>
        <v/>
      </c>
      <c r="I35" s="44" t="inlineStr">
        <is>
          <t>DOĞRU</t>
        </is>
      </c>
      <c r="J35" s="45" t="inlineStr">
        <is>
          <t>https://altin.doviz.com/gram-altin</t>
        </is>
      </c>
      <c r="K35" s="5" t="n">
        <v>70.81999999999999</v>
      </c>
      <c r="L35" s="6" t="n">
        <v>0.01</v>
      </c>
      <c r="M35" s="46" t="inlineStr"/>
      <c r="N35" s="47" t="n">
        <v>0.5670601851851852</v>
      </c>
    </row>
    <row r="36">
      <c r="A36" s="2" t="n">
        <v>46262</v>
      </c>
      <c r="B36" s="3" t="n">
        <v>0.6021875</v>
      </c>
      <c r="C36" s="8" t="inlineStr">
        <is>
          <t>Alternatif Bank</t>
        </is>
      </c>
      <c r="D36" t="inlineStr">
        <is>
          <t>GRAM_ALTIN</t>
        </is>
      </c>
      <c r="E36" s="5" t="n">
        <v>7092.01</v>
      </c>
      <c r="F36" s="5" t="n">
        <v>7162.97</v>
      </c>
      <c r="G36" s="5">
        <f>IF(OR(E36="",F36=""),"",F36-E36)</f>
        <v/>
      </c>
      <c r="H36" s="6">
        <f>IFERROR(G36/E36,"")</f>
        <v/>
      </c>
      <c r="I36" s="44" t="inlineStr">
        <is>
          <t>DOĞRU</t>
        </is>
      </c>
      <c r="J36" s="45" t="inlineStr">
        <is>
          <t>https://altin.doviz.com/gram-altin</t>
        </is>
      </c>
      <c r="K36" s="5" t="n">
        <v>70.97</v>
      </c>
      <c r="L36" s="6" t="n">
        <v>0.01</v>
      </c>
      <c r="M36" s="46" t="inlineStr"/>
      <c r="N36" s="47" t="n">
        <v>0.6026388888888888</v>
      </c>
    </row>
    <row r="37">
      <c r="A37" s="2" t="n">
        <v>46262</v>
      </c>
      <c r="B37" s="3" t="n">
        <v>0.6194560185185185</v>
      </c>
      <c r="C37" s="8" t="inlineStr">
        <is>
          <t>Alternatif Bank</t>
        </is>
      </c>
      <c r="D37" t="inlineStr">
        <is>
          <t>GRAM_ALTIN</t>
        </is>
      </c>
      <c r="E37" s="5" t="n">
        <v>7082.42</v>
      </c>
      <c r="F37" s="5" t="n">
        <v>7153.96</v>
      </c>
      <c r="G37" s="5">
        <f>IF(OR(E37="",F37=""),"",F37-E37)</f>
        <v/>
      </c>
      <c r="H37" s="6">
        <f>IFERROR(G37/E37,"")</f>
        <v/>
      </c>
      <c r="I37" s="44" t="inlineStr">
        <is>
          <t>DOĞRU</t>
        </is>
      </c>
      <c r="J37" s="45" t="inlineStr">
        <is>
          <t>https://altin.doviz.com/gram-altin</t>
        </is>
      </c>
      <c r="K37" s="5" t="n">
        <v>71.54000000000001</v>
      </c>
      <c r="L37" s="6" t="n">
        <v>0.0101</v>
      </c>
      <c r="M37" s="46" t="inlineStr"/>
      <c r="N37" s="47" t="n">
        <v>0.619849537037037</v>
      </c>
    </row>
    <row r="38">
      <c r="A38" s="2" t="n">
        <v>46262</v>
      </c>
      <c r="B38" s="3" t="n">
        <v>0.5570949074074074</v>
      </c>
      <c r="C38" s="9" t="inlineStr">
        <is>
          <t>Altınkaynak</t>
        </is>
      </c>
      <c r="D38" t="inlineStr">
        <is>
          <t>DOLAR</t>
        </is>
      </c>
      <c r="E38" s="5" t="n">
        <v>47.971</v>
      </c>
      <c r="F38" s="5" t="n">
        <v>48.17</v>
      </c>
      <c r="G38" s="5">
        <f>IF(OR(E38="",F38=""),"",F38-E38)</f>
        <v/>
      </c>
      <c r="H38" s="6">
        <f>IFERROR(G38/E38,"")</f>
        <v/>
      </c>
      <c r="I38" s="44" t="inlineStr">
        <is>
          <t>DOĞRU</t>
        </is>
      </c>
      <c r="J38" s="45" t="inlineStr">
        <is>
          <t>https://kur.doviz.com/serbest-piyasa/amerikan-dolari</t>
        </is>
      </c>
      <c r="K38" s="5" t="n">
        <v>0.199</v>
      </c>
      <c r="L38" s="6" t="n">
        <v>0.004099999999999999</v>
      </c>
      <c r="M38" s="46" t="inlineStr"/>
      <c r="N38" s="47" t="n">
        <v>0.5572569444444444</v>
      </c>
    </row>
    <row r="39">
      <c r="A39" s="2" t="n">
        <v>46262</v>
      </c>
      <c r="B39" s="3" t="n">
        <v>0.5665625</v>
      </c>
      <c r="C39" s="9" t="inlineStr">
        <is>
          <t>Altınkaynak</t>
        </is>
      </c>
      <c r="D39" t="inlineStr">
        <is>
          <t>DOLAR</t>
        </is>
      </c>
      <c r="E39" s="5" t="n">
        <v>47.981</v>
      </c>
      <c r="F39" s="5" t="n">
        <v>48.19</v>
      </c>
      <c r="G39" s="5">
        <f>IF(OR(E39="",F39=""),"",F39-E39)</f>
        <v/>
      </c>
      <c r="H39" s="6">
        <f>IFERROR(G39/E39,"")</f>
        <v/>
      </c>
      <c r="I39" s="44" t="inlineStr">
        <is>
          <t>DOĞRU</t>
        </is>
      </c>
      <c r="J39" s="45" t="inlineStr">
        <is>
          <t>https://kur.doviz.com/serbest-piyasa/amerikan-dolari</t>
        </is>
      </c>
      <c r="K39" s="5" t="n">
        <v>0.209</v>
      </c>
      <c r="L39" s="6" t="n">
        <v>0.0044</v>
      </c>
      <c r="M39" s="46" t="inlineStr"/>
      <c r="N39" s="47" t="n">
        <v>0.5667592592592593</v>
      </c>
    </row>
    <row r="40">
      <c r="A40" s="2" t="n">
        <v>46262</v>
      </c>
      <c r="B40" s="3" t="n">
        <v>0.6021875</v>
      </c>
      <c r="C40" s="9" t="inlineStr">
        <is>
          <t>Altınkaynak</t>
        </is>
      </c>
      <c r="D40" t="inlineStr">
        <is>
          <t>DOLAR</t>
        </is>
      </c>
      <c r="E40" s="5" t="n">
        <v>47.981</v>
      </c>
      <c r="F40" s="5" t="n">
        <v>48.18</v>
      </c>
      <c r="G40" s="5">
        <f>IF(OR(E40="",F40=""),"",F40-E40)</f>
        <v/>
      </c>
      <c r="H40" s="6">
        <f>IFERROR(G40/E40,"")</f>
        <v/>
      </c>
      <c r="I40" s="44" t="inlineStr">
        <is>
          <t>DOĞRU</t>
        </is>
      </c>
      <c r="J40" s="45" t="inlineStr">
        <is>
          <t>https://kur.doviz.com/serbest-piyasa/amerikan-dolari</t>
        </is>
      </c>
      <c r="K40" s="5" t="n">
        <v>0.199</v>
      </c>
      <c r="L40" s="6" t="n">
        <v>0.004099999999999999</v>
      </c>
      <c r="M40" s="46" t="inlineStr"/>
      <c r="N40" s="47" t="n">
        <v>0.6023379629629629</v>
      </c>
    </row>
    <row r="41">
      <c r="A41" s="2" t="n">
        <v>46262</v>
      </c>
      <c r="B41" s="3" t="n">
        <v>0.6194560185185185</v>
      </c>
      <c r="C41" s="9" t="inlineStr">
        <is>
          <t>Altınkaynak</t>
        </is>
      </c>
      <c r="D41" t="inlineStr">
        <is>
          <t>DOLAR</t>
        </is>
      </c>
      <c r="E41" s="5" t="n">
        <v>47.981</v>
      </c>
      <c r="F41" s="5" t="n">
        <v>48.18</v>
      </c>
      <c r="G41" s="5">
        <f>IF(OR(E41="",F41=""),"",F41-E41)</f>
        <v/>
      </c>
      <c r="H41" s="6">
        <f>IFERROR(G41/E41,"")</f>
        <v/>
      </c>
      <c r="I41" s="44" t="inlineStr">
        <is>
          <t>DOĞRU</t>
        </is>
      </c>
      <c r="J41" s="45" t="inlineStr">
        <is>
          <t>https://kur.doviz.com/serbest-piyasa/amerikan-dolari</t>
        </is>
      </c>
      <c r="K41" s="5" t="n">
        <v>0.199</v>
      </c>
      <c r="L41" s="6" t="n">
        <v>0.004099999999999999</v>
      </c>
      <c r="M41" s="46" t="inlineStr"/>
      <c r="N41" s="47" t="n">
        <v>0.6196180555555556</v>
      </c>
    </row>
    <row r="42">
      <c r="A42" s="2" t="n">
        <v>46262</v>
      </c>
      <c r="B42" s="3" t="n">
        <v>0.5570949074074074</v>
      </c>
      <c r="C42" s="9" t="inlineStr">
        <is>
          <t>Altınkaynak</t>
        </is>
      </c>
      <c r="D42" t="inlineStr">
        <is>
          <t>EURO</t>
        </is>
      </c>
      <c r="E42" s="5" t="n">
        <v>55.731</v>
      </c>
      <c r="F42" s="5" t="n">
        <v>56.075</v>
      </c>
      <c r="G42" s="5">
        <f>IF(OR(E42="",F42=""),"",F42-E42)</f>
        <v/>
      </c>
      <c r="H42" s="6">
        <f>IFERROR(G42/E42,"")</f>
        <v/>
      </c>
      <c r="I42" s="44" t="inlineStr">
        <is>
          <t>DOĞRU</t>
        </is>
      </c>
      <c r="J42" s="45" t="inlineStr">
        <is>
          <t>https://kur.doviz.com/serbest-piyasa/euro</t>
        </is>
      </c>
      <c r="K42" s="5" t="n">
        <v>0.344</v>
      </c>
      <c r="L42" s="6" t="n">
        <v>0.0062</v>
      </c>
      <c r="M42" s="46" t="inlineStr"/>
      <c r="N42" s="47" t="n">
        <v>0.5574074074074075</v>
      </c>
    </row>
    <row r="43">
      <c r="A43" s="2" t="n">
        <v>46262</v>
      </c>
      <c r="B43" s="3" t="n">
        <v>0.5665625</v>
      </c>
      <c r="C43" s="9" t="inlineStr">
        <is>
          <t>Altınkaynak</t>
        </is>
      </c>
      <c r="D43" t="inlineStr">
        <is>
          <t>EURO</t>
        </is>
      </c>
      <c r="E43" s="5" t="n">
        <v>55.765</v>
      </c>
      <c r="F43" s="5" t="n">
        <v>56.12</v>
      </c>
      <c r="G43" s="5">
        <f>IF(OR(E43="",F43=""),"",F43-E43)</f>
        <v/>
      </c>
      <c r="H43" s="6">
        <f>IFERROR(G43/E43,"")</f>
        <v/>
      </c>
      <c r="I43" s="44" t="inlineStr">
        <is>
          <t>DOĞRU</t>
        </is>
      </c>
      <c r="J43" s="45" t="inlineStr">
        <is>
          <t>https://kur.doviz.com/serbest-piyasa/euro</t>
        </is>
      </c>
      <c r="K43" s="5" t="n">
        <v>0.355</v>
      </c>
      <c r="L43" s="6" t="n">
        <v>0.0064</v>
      </c>
      <c r="M43" s="46" t="inlineStr"/>
      <c r="N43" s="47" t="n">
        <v>0.5669097222222222</v>
      </c>
    </row>
    <row r="44">
      <c r="A44" s="2" t="n">
        <v>46262</v>
      </c>
      <c r="B44" s="3" t="n">
        <v>0.6021875</v>
      </c>
      <c r="C44" s="9" t="inlineStr">
        <is>
          <t>Altınkaynak</t>
        </is>
      </c>
      <c r="D44" t="inlineStr">
        <is>
          <t>EURO</t>
        </is>
      </c>
      <c r="E44" s="5" t="n">
        <v>55.776</v>
      </c>
      <c r="F44" s="5" t="n">
        <v>56.12</v>
      </c>
      <c r="G44" s="5">
        <f>IF(OR(E44="",F44=""),"",F44-E44)</f>
        <v/>
      </c>
      <c r="H44" s="6">
        <f>IFERROR(G44/E44,"")</f>
        <v/>
      </c>
      <c r="I44" s="44" t="inlineStr">
        <is>
          <t>DOĞRU</t>
        </is>
      </c>
      <c r="J44" s="45" t="inlineStr">
        <is>
          <t>https://kur.doviz.com/serbest-piyasa/euro</t>
        </is>
      </c>
      <c r="K44" s="5" t="n">
        <v>0.344</v>
      </c>
      <c r="L44" s="6" t="n">
        <v>0.0062</v>
      </c>
      <c r="M44" s="46" t="inlineStr"/>
      <c r="N44" s="47" t="n">
        <v>0.6024884259259259</v>
      </c>
    </row>
    <row r="45">
      <c r="A45" s="2" t="n">
        <v>46262</v>
      </c>
      <c r="B45" s="3" t="n">
        <v>0.6194560185185185</v>
      </c>
      <c r="C45" s="9" t="inlineStr">
        <is>
          <t>Altınkaynak</t>
        </is>
      </c>
      <c r="D45" t="inlineStr">
        <is>
          <t>EURO</t>
        </is>
      </c>
      <c r="E45" s="5" t="n">
        <v>55.762</v>
      </c>
      <c r="F45" s="5" t="n">
        <v>56.105</v>
      </c>
      <c r="G45" s="5">
        <f>IF(OR(E45="",F45=""),"",F45-E45)</f>
        <v/>
      </c>
      <c r="H45" s="6">
        <f>IFERROR(G45/E45,"")</f>
        <v/>
      </c>
      <c r="I45" s="44" t="inlineStr">
        <is>
          <t>DOĞRU</t>
        </is>
      </c>
      <c r="J45" s="45" t="inlineStr">
        <is>
          <t>https://kur.doviz.com/serbest-piyasa/euro</t>
        </is>
      </c>
      <c r="K45" s="5" t="n">
        <v>0.34</v>
      </c>
      <c r="L45" s="6" t="n">
        <v>0.0062</v>
      </c>
      <c r="M45" s="46" t="inlineStr"/>
      <c r="N45" s="47" t="n">
        <v>0.6196990740740741</v>
      </c>
    </row>
    <row r="46">
      <c r="A46" s="2" t="n">
        <v>46262</v>
      </c>
      <c r="B46" s="3" t="n">
        <v>0.5570949074074074</v>
      </c>
      <c r="C46" s="9" t="inlineStr">
        <is>
          <t>Altınkaynak</t>
        </is>
      </c>
      <c r="D46" t="inlineStr">
        <is>
          <t>GRAM_ALTIN</t>
        </is>
      </c>
      <c r="E46" s="5" t="n">
        <v>6998.3</v>
      </c>
      <c r="F46" s="5" t="n">
        <v>7175</v>
      </c>
      <c r="G46" s="5">
        <f>IF(OR(E46="",F46=""),"",F46-E46)</f>
        <v/>
      </c>
      <c r="H46" s="6">
        <f>IFERROR(G46/E46,"")</f>
        <v/>
      </c>
      <c r="I46" s="44" t="inlineStr">
        <is>
          <t>DOĞRU</t>
        </is>
      </c>
      <c r="J46" s="45" t="inlineStr">
        <is>
          <t>https://altin.doviz.com/gram-altin</t>
        </is>
      </c>
      <c r="K46" s="5" t="n">
        <v>176.7</v>
      </c>
      <c r="L46" s="6" t="n">
        <v>0.0252</v>
      </c>
      <c r="M46" s="46" t="inlineStr"/>
      <c r="N46" s="47" t="n">
        <v>0.5575578703703704</v>
      </c>
    </row>
    <row r="47">
      <c r="A47" s="2" t="n">
        <v>46262</v>
      </c>
      <c r="B47" s="3" t="n">
        <v>0.5665625</v>
      </c>
      <c r="C47" s="9" t="inlineStr">
        <is>
          <t>Altınkaynak</t>
        </is>
      </c>
      <c r="D47" t="inlineStr">
        <is>
          <t>GRAM_ALTIN</t>
        </is>
      </c>
      <c r="E47" s="5" t="n">
        <v>7004.51</v>
      </c>
      <c r="F47" s="5" t="n">
        <v>7185</v>
      </c>
      <c r="G47" s="5">
        <f>IF(OR(E47="",F47=""),"",F47-E47)</f>
        <v/>
      </c>
      <c r="H47" s="6">
        <f>IFERROR(G47/E47,"")</f>
        <v/>
      </c>
      <c r="I47" s="44" t="inlineStr">
        <is>
          <t>DOĞRU</t>
        </is>
      </c>
      <c r="J47" s="45" t="inlineStr">
        <is>
          <t>https://altin.doviz.com/gram-altin</t>
        </is>
      </c>
      <c r="K47" s="5" t="n">
        <v>180.49</v>
      </c>
      <c r="L47" s="6" t="n">
        <v>0.0258</v>
      </c>
      <c r="M47" s="46" t="inlineStr"/>
      <c r="N47" s="47" t="n">
        <v>0.5670601851851852</v>
      </c>
    </row>
    <row r="48">
      <c r="A48" s="2" t="n">
        <v>46262</v>
      </c>
      <c r="B48" s="3" t="n">
        <v>0.6021875</v>
      </c>
      <c r="C48" s="9" t="inlineStr">
        <is>
          <t>Altınkaynak</t>
        </is>
      </c>
      <c r="D48" t="inlineStr">
        <is>
          <t>GRAM_ALTIN</t>
        </is>
      </c>
      <c r="E48" s="5" t="n">
        <v>6994.61</v>
      </c>
      <c r="F48" s="5" t="n">
        <v>7170</v>
      </c>
      <c r="G48" s="5">
        <f>IF(OR(E48="",F48=""),"",F48-E48)</f>
        <v/>
      </c>
      <c r="H48" s="6">
        <f>IFERROR(G48/E48,"")</f>
        <v/>
      </c>
      <c r="I48" s="44" t="inlineStr">
        <is>
          <t>DOĞRU</t>
        </is>
      </c>
      <c r="J48" s="45" t="inlineStr">
        <is>
          <t>https://altin.doviz.com/gram-altin</t>
        </is>
      </c>
      <c r="K48" s="5" t="n">
        <v>175.39</v>
      </c>
      <c r="L48" s="6" t="n">
        <v>0.0251</v>
      </c>
      <c r="M48" s="46" t="inlineStr"/>
      <c r="N48" s="47" t="n">
        <v>0.6026388888888888</v>
      </c>
    </row>
    <row r="49">
      <c r="A49" s="2" t="n">
        <v>46262</v>
      </c>
      <c r="B49" s="3" t="n">
        <v>0.6194560185185185</v>
      </c>
      <c r="C49" s="9" t="inlineStr">
        <is>
          <t>Altınkaynak</t>
        </is>
      </c>
      <c r="D49" t="inlineStr">
        <is>
          <t>GRAM_ALTIN</t>
        </is>
      </c>
      <c r="E49" s="5" t="n">
        <v>6985.76</v>
      </c>
      <c r="F49" s="5" t="n">
        <v>7150</v>
      </c>
      <c r="G49" s="5">
        <f>IF(OR(E49="",F49=""),"",F49-E49)</f>
        <v/>
      </c>
      <c r="H49" s="6">
        <f>IFERROR(G49/E49,"")</f>
        <v/>
      </c>
      <c r="I49" s="44" t="inlineStr">
        <is>
          <t>DOĞRU</t>
        </is>
      </c>
      <c r="J49" s="45" t="inlineStr">
        <is>
          <t>https://altin.doviz.com/gram-altin</t>
        </is>
      </c>
      <c r="K49" s="5" t="n">
        <v>164.24</v>
      </c>
      <c r="L49" s="6" t="n">
        <v>0.0235</v>
      </c>
      <c r="M49" s="46" t="inlineStr"/>
      <c r="N49" s="47" t="n">
        <v>0.619849537037037</v>
      </c>
    </row>
    <row r="50">
      <c r="A50" s="2" t="n">
        <v>46262</v>
      </c>
      <c r="B50" s="3" t="n">
        <v>0.5570949074074074</v>
      </c>
      <c r="C50" s="10" t="inlineStr">
        <is>
          <t>Anadolubank</t>
        </is>
      </c>
      <c r="D50" t="inlineStr">
        <is>
          <t>DOLAR</t>
        </is>
      </c>
      <c r="E50" s="5" t="n">
        <v>47.3126</v>
      </c>
      <c r="F50" s="5" t="n">
        <v>48.5892</v>
      </c>
      <c r="G50" s="5">
        <f>IF(OR(E50="",F50=""),"",F50-E50)</f>
        <v/>
      </c>
      <c r="H50" s="6">
        <f>IFERROR(G50/E50,"")</f>
        <v/>
      </c>
      <c r="I50" s="44" t="inlineStr">
        <is>
          <t>DOĞRU</t>
        </is>
      </c>
      <c r="J50" s="45" t="inlineStr">
        <is>
          <t>https://kur.doviz.com/serbest-piyasa/amerikan-dolari</t>
        </is>
      </c>
      <c r="K50" s="5" t="n">
        <v>1.2766</v>
      </c>
      <c r="L50" s="6" t="n">
        <v>0.027</v>
      </c>
      <c r="M50" s="46" t="inlineStr"/>
      <c r="N50" s="47" t="n">
        <v>0.5572569444444444</v>
      </c>
    </row>
    <row r="51">
      <c r="A51" s="2" t="n">
        <v>46262</v>
      </c>
      <c r="B51" s="3" t="n">
        <v>0.5665625</v>
      </c>
      <c r="C51" s="10" t="inlineStr">
        <is>
          <t>Anadolubank</t>
        </is>
      </c>
      <c r="D51" t="inlineStr">
        <is>
          <t>DOLAR</t>
        </is>
      </c>
      <c r="E51" s="5" t="n">
        <v>47.3123</v>
      </c>
      <c r="F51" s="5" t="n">
        <v>48.5893</v>
      </c>
      <c r="G51" s="5">
        <f>IF(OR(E51="",F51=""),"",F51-E51)</f>
        <v/>
      </c>
      <c r="H51" s="6">
        <f>IFERROR(G51/E51,"")</f>
        <v/>
      </c>
      <c r="I51" s="44" t="inlineStr">
        <is>
          <t>DOĞRU</t>
        </is>
      </c>
      <c r="J51" s="45" t="inlineStr">
        <is>
          <t>https://kur.doviz.com/serbest-piyasa/amerikan-dolari</t>
        </is>
      </c>
      <c r="K51" s="5" t="n">
        <v>1.277</v>
      </c>
      <c r="L51" s="6" t="n">
        <v>0.027</v>
      </c>
      <c r="M51" s="46" t="inlineStr"/>
      <c r="N51" s="47" t="n">
        <v>0.5667592592592593</v>
      </c>
    </row>
    <row r="52">
      <c r="A52" s="2" t="n">
        <v>46262</v>
      </c>
      <c r="B52" s="3" t="n">
        <v>0.6021875</v>
      </c>
      <c r="C52" s="10" t="inlineStr">
        <is>
          <t>Anadolubank</t>
        </is>
      </c>
      <c r="D52" t="inlineStr">
        <is>
          <t>DOLAR</t>
        </is>
      </c>
      <c r="E52" s="5" t="n">
        <v>47.3124</v>
      </c>
      <c r="F52" s="5" t="n">
        <v>48.5892</v>
      </c>
      <c r="G52" s="5">
        <f>IF(OR(E52="",F52=""),"",F52-E52)</f>
        <v/>
      </c>
      <c r="H52" s="6">
        <f>IFERROR(G52/E52,"")</f>
        <v/>
      </c>
      <c r="I52" s="44" t="inlineStr">
        <is>
          <t>DOĞRU</t>
        </is>
      </c>
      <c r="J52" s="45" t="inlineStr">
        <is>
          <t>https://kur.doviz.com/serbest-piyasa/amerikan-dolari</t>
        </is>
      </c>
      <c r="K52" s="5" t="n">
        <v>1.2768</v>
      </c>
      <c r="L52" s="6" t="n">
        <v>0.027</v>
      </c>
      <c r="M52" s="46" t="inlineStr"/>
      <c r="N52" s="47" t="n">
        <v>0.6023379629629629</v>
      </c>
    </row>
    <row r="53">
      <c r="A53" s="2" t="n">
        <v>46262</v>
      </c>
      <c r="B53" s="3" t="n">
        <v>0.6194560185185185</v>
      </c>
      <c r="C53" s="10" t="inlineStr">
        <is>
          <t>Anadolubank</t>
        </is>
      </c>
      <c r="D53" t="inlineStr">
        <is>
          <t>DOLAR</t>
        </is>
      </c>
      <c r="E53" s="5" t="n">
        <v>47.3123</v>
      </c>
      <c r="F53" s="5" t="n">
        <v>48.589</v>
      </c>
      <c r="G53" s="5">
        <f>IF(OR(E53="",F53=""),"",F53-E53)</f>
        <v/>
      </c>
      <c r="H53" s="6">
        <f>IFERROR(G53/E53,"")</f>
        <v/>
      </c>
      <c r="I53" s="44" t="inlineStr">
        <is>
          <t>DOĞRU</t>
        </is>
      </c>
      <c r="J53" s="45" t="inlineStr">
        <is>
          <t>https://kur.doviz.com/serbest-piyasa/amerikan-dolari</t>
        </is>
      </c>
      <c r="K53" s="5" t="n">
        <v>1.2767</v>
      </c>
      <c r="L53" s="6" t="n">
        <v>0.027</v>
      </c>
      <c r="M53" s="46" t="inlineStr"/>
      <c r="N53" s="47" t="n">
        <v>0.6196180555555556</v>
      </c>
    </row>
    <row r="54">
      <c r="A54" s="2" t="n">
        <v>46262</v>
      </c>
      <c r="B54" s="3" t="n">
        <v>0.5570949074074074</v>
      </c>
      <c r="C54" s="10" t="inlineStr">
        <is>
          <t>Anadolubank</t>
        </is>
      </c>
      <c r="D54" t="inlineStr">
        <is>
          <t>EURO</t>
        </is>
      </c>
      <c r="E54" s="5" t="n">
        <v>55.1726</v>
      </c>
      <c r="F54" s="5" t="n">
        <v>56.5438</v>
      </c>
      <c r="G54" s="5">
        <f>IF(OR(E54="",F54=""),"",F54-E54)</f>
        <v/>
      </c>
      <c r="H54" s="6">
        <f>IFERROR(G54/E54,"")</f>
        <v/>
      </c>
      <c r="I54" s="44" t="inlineStr">
        <is>
          <t>DOĞRU</t>
        </is>
      </c>
      <c r="J54" s="45" t="inlineStr">
        <is>
          <t>https://kur.doviz.com/serbest-piyasa/euro</t>
        </is>
      </c>
      <c r="K54" s="5" t="n">
        <v>1.3712</v>
      </c>
      <c r="L54" s="6" t="n">
        <v>0.0249</v>
      </c>
      <c r="M54" s="46" t="inlineStr"/>
      <c r="N54" s="47" t="n">
        <v>0.5574074074074075</v>
      </c>
    </row>
    <row r="55">
      <c r="A55" s="2" t="n">
        <v>46262</v>
      </c>
      <c r="B55" s="3" t="n">
        <v>0.5665625</v>
      </c>
      <c r="C55" s="10" t="inlineStr">
        <is>
          <t>Anadolubank</t>
        </is>
      </c>
      <c r="D55" t="inlineStr">
        <is>
          <t>EURO</t>
        </is>
      </c>
      <c r="E55" s="5" t="n">
        <v>55.197</v>
      </c>
      <c r="F55" s="5" t="n">
        <v>56.5683</v>
      </c>
      <c r="G55" s="5">
        <f>IF(OR(E55="",F55=""),"",F55-E55)</f>
        <v/>
      </c>
      <c r="H55" s="6">
        <f>IFERROR(G55/E55,"")</f>
        <v/>
      </c>
      <c r="I55" s="44" t="inlineStr">
        <is>
          <t>DOĞRU</t>
        </is>
      </c>
      <c r="J55" s="45" t="inlineStr">
        <is>
          <t>https://kur.doviz.com/serbest-piyasa/euro</t>
        </is>
      </c>
      <c r="K55" s="5" t="n">
        <v>1.3713</v>
      </c>
      <c r="L55" s="6" t="n">
        <v>0.0248</v>
      </c>
      <c r="M55" s="46" t="inlineStr"/>
      <c r="N55" s="47" t="n">
        <v>0.5669097222222222</v>
      </c>
    </row>
    <row r="56">
      <c r="A56" s="2" t="n">
        <v>46262</v>
      </c>
      <c r="B56" s="3" t="n">
        <v>0.6021875</v>
      </c>
      <c r="C56" s="10" t="inlineStr">
        <is>
          <t>Anadolubank</t>
        </is>
      </c>
      <c r="D56" t="inlineStr">
        <is>
          <t>EURO</t>
        </is>
      </c>
      <c r="E56" s="5" t="n">
        <v>55.2084</v>
      </c>
      <c r="F56" s="5" t="n">
        <v>56.5783</v>
      </c>
      <c r="G56" s="5">
        <f>IF(OR(E56="",F56=""),"",F56-E56)</f>
        <v/>
      </c>
      <c r="H56" s="6">
        <f>IFERROR(G56/E56,"")</f>
        <v/>
      </c>
      <c r="I56" s="44" t="inlineStr">
        <is>
          <t>DOĞRU</t>
        </is>
      </c>
      <c r="J56" s="45" t="inlineStr">
        <is>
          <t>https://kur.doviz.com/serbest-piyasa/euro</t>
        </is>
      </c>
      <c r="K56" s="5" t="n">
        <v>1.3699</v>
      </c>
      <c r="L56" s="6" t="n">
        <v>0.0248</v>
      </c>
      <c r="M56" s="46" t="inlineStr"/>
      <c r="N56" s="47" t="n">
        <v>0.6024884259259259</v>
      </c>
    </row>
    <row r="57">
      <c r="A57" s="2" t="n">
        <v>46262</v>
      </c>
      <c r="B57" s="3" t="n">
        <v>0.6194560185185185</v>
      </c>
      <c r="C57" s="10" t="inlineStr">
        <is>
          <t>Anadolubank</t>
        </is>
      </c>
      <c r="D57" t="inlineStr">
        <is>
          <t>EURO</t>
        </is>
      </c>
      <c r="E57" s="5" t="n">
        <v>55.1971</v>
      </c>
      <c r="F57" s="5" t="n">
        <v>56.5682</v>
      </c>
      <c r="G57" s="5">
        <f>IF(OR(E57="",F57=""),"",F57-E57)</f>
        <v/>
      </c>
      <c r="H57" s="6">
        <f>IFERROR(G57/E57,"")</f>
        <v/>
      </c>
      <c r="I57" s="44" t="inlineStr">
        <is>
          <t>DOĞRU</t>
        </is>
      </c>
      <c r="J57" s="45" t="inlineStr">
        <is>
          <t>https://kur.doviz.com/serbest-piyasa/euro</t>
        </is>
      </c>
      <c r="K57" s="5" t="n">
        <v>1.37</v>
      </c>
      <c r="L57" s="6" t="n">
        <v>0.0248</v>
      </c>
      <c r="M57" s="46" t="inlineStr"/>
      <c r="N57" s="47" t="n">
        <v>0.6196990740740741</v>
      </c>
    </row>
    <row r="58">
      <c r="A58" s="2" t="n">
        <v>46262</v>
      </c>
      <c r="B58" s="3" t="n">
        <v>0.5570949074074074</v>
      </c>
      <c r="C58" s="10" t="inlineStr">
        <is>
          <t>Anadolubank</t>
        </is>
      </c>
      <c r="D58" t="inlineStr">
        <is>
          <t>GRAM_ALTIN</t>
        </is>
      </c>
      <c r="E58" s="5" t="n">
        <v>7005.31</v>
      </c>
      <c r="F58" s="5" t="n">
        <v>7164.08</v>
      </c>
      <c r="G58" s="5">
        <f>IF(OR(E58="",F58=""),"",F58-E58)</f>
        <v/>
      </c>
      <c r="H58" s="6">
        <f>IFERROR(G58/E58,"")</f>
        <v/>
      </c>
      <c r="I58" s="44" t="inlineStr">
        <is>
          <t>DOĞRU</t>
        </is>
      </c>
      <c r="J58" s="45" t="inlineStr">
        <is>
          <t>https://altin.doviz.com/gram-altin</t>
        </is>
      </c>
      <c r="K58" s="5" t="n">
        <v>158.77</v>
      </c>
      <c r="L58" s="6" t="n">
        <v>0.0227</v>
      </c>
      <c r="M58" s="46" t="inlineStr"/>
      <c r="N58" s="47" t="n">
        <v>0.5575578703703704</v>
      </c>
    </row>
    <row r="59">
      <c r="A59" s="2" t="n">
        <v>46262</v>
      </c>
      <c r="B59" s="3" t="n">
        <v>0.5665625</v>
      </c>
      <c r="C59" s="10" t="inlineStr">
        <is>
          <t>Anadolubank</t>
        </is>
      </c>
      <c r="D59" t="inlineStr">
        <is>
          <t>GRAM_ALTIN</t>
        </is>
      </c>
      <c r="E59" s="5" t="n">
        <v>7009.57</v>
      </c>
      <c r="F59" s="5" t="n">
        <v>7168.59</v>
      </c>
      <c r="G59" s="5">
        <f>IF(OR(E59="",F59=""),"",F59-E59)</f>
        <v/>
      </c>
      <c r="H59" s="6">
        <f>IFERROR(G59/E59,"")</f>
        <v/>
      </c>
      <c r="I59" s="44" t="inlineStr">
        <is>
          <t>DOĞRU</t>
        </is>
      </c>
      <c r="J59" s="45" t="inlineStr">
        <is>
          <t>https://altin.doviz.com/gram-altin</t>
        </is>
      </c>
      <c r="K59" s="5" t="n">
        <v>159.02</v>
      </c>
      <c r="L59" s="6" t="n">
        <v>0.0227</v>
      </c>
      <c r="M59" s="46" t="inlineStr"/>
      <c r="N59" s="47" t="n">
        <v>0.5670601851851852</v>
      </c>
    </row>
    <row r="60">
      <c r="A60" s="2" t="n">
        <v>46262</v>
      </c>
      <c r="B60" s="3" t="n">
        <v>0.6021875</v>
      </c>
      <c r="C60" s="10" t="inlineStr">
        <is>
          <t>Anadolubank</t>
        </is>
      </c>
      <c r="D60" t="inlineStr">
        <is>
          <t>GRAM_ALTIN</t>
        </is>
      </c>
      <c r="E60" s="5" t="n">
        <v>6998.2</v>
      </c>
      <c r="F60" s="5" t="n">
        <v>7157.32</v>
      </c>
      <c r="G60" s="5">
        <f>IF(OR(E60="",F60=""),"",F60-E60)</f>
        <v/>
      </c>
      <c r="H60" s="6">
        <f>IFERROR(G60/E60,"")</f>
        <v/>
      </c>
      <c r="I60" s="44" t="inlineStr">
        <is>
          <t>DOĞRU</t>
        </is>
      </c>
      <c r="J60" s="45" t="inlineStr">
        <is>
          <t>https://altin.doviz.com/gram-altin</t>
        </is>
      </c>
      <c r="K60" s="5" t="n">
        <v>159.11</v>
      </c>
      <c r="L60" s="6" t="n">
        <v>0.0227</v>
      </c>
      <c r="M60" s="46" t="inlineStr"/>
      <c r="N60" s="47" t="n">
        <v>0.6026388888888888</v>
      </c>
    </row>
    <row r="61">
      <c r="A61" s="2" t="n">
        <v>46262</v>
      </c>
      <c r="B61" s="3" t="n">
        <v>0.6194560185185185</v>
      </c>
      <c r="C61" s="10" t="inlineStr">
        <is>
          <t>Anadolubank</t>
        </is>
      </c>
      <c r="D61" t="inlineStr">
        <is>
          <t>GRAM_ALTIN</t>
        </is>
      </c>
      <c r="E61" s="5" t="n">
        <v>6990.24</v>
      </c>
      <c r="F61" s="5" t="n">
        <v>7149.18</v>
      </c>
      <c r="G61" s="5">
        <f>IF(OR(E61="",F61=""),"",F61-E61)</f>
        <v/>
      </c>
      <c r="H61" s="6">
        <f>IFERROR(G61/E61,"")</f>
        <v/>
      </c>
      <c r="I61" s="44" t="inlineStr">
        <is>
          <t>DOĞRU</t>
        </is>
      </c>
      <c r="J61" s="45" t="inlineStr">
        <is>
          <t>https://altin.doviz.com/gram-altin</t>
        </is>
      </c>
      <c r="K61" s="5" t="n">
        <v>158.94</v>
      </c>
      <c r="L61" s="6" t="n">
        <v>0.0227</v>
      </c>
      <c r="M61" s="46" t="inlineStr"/>
      <c r="N61" s="47" t="n">
        <v>0.619849537037037</v>
      </c>
    </row>
    <row r="62">
      <c r="A62" s="2" t="n">
        <v>46262</v>
      </c>
      <c r="B62" s="3" t="n">
        <v>0.5570949074074074</v>
      </c>
      <c r="C62" s="11" t="inlineStr">
        <is>
          <t>CEPTETEB</t>
        </is>
      </c>
      <c r="D62" t="inlineStr">
        <is>
          <t>DOLAR</t>
        </is>
      </c>
      <c r="E62" s="5" t="n">
        <v>47.166</v>
      </c>
      <c r="F62" s="5" t="n">
        <v>49.084</v>
      </c>
      <c r="G62" s="5">
        <f>IF(OR(E62="",F62=""),"",F62-E62)</f>
        <v/>
      </c>
      <c r="H62" s="6">
        <f>IFERROR(G62/E62,"")</f>
        <v/>
      </c>
      <c r="I62" s="44" t="inlineStr">
        <is>
          <t>DOĞRU</t>
        </is>
      </c>
      <c r="J62" s="45" t="inlineStr">
        <is>
          <t>https://kur.doviz.com/serbest-piyasa/amerikan-dolari</t>
        </is>
      </c>
      <c r="K62" s="5" t="n">
        <v>1.918</v>
      </c>
      <c r="L62" s="6" t="n">
        <v>0.0407</v>
      </c>
      <c r="M62" s="46" t="inlineStr"/>
      <c r="N62" s="47" t="n">
        <v>0.5572569444444444</v>
      </c>
    </row>
    <row r="63">
      <c r="A63" s="2" t="n">
        <v>46262</v>
      </c>
      <c r="B63" s="3" t="n">
        <v>0.5665625</v>
      </c>
      <c r="C63" s="11" t="inlineStr">
        <is>
          <t>CEPTETEB</t>
        </is>
      </c>
      <c r="D63" t="inlineStr">
        <is>
          <t>DOLAR</t>
        </is>
      </c>
      <c r="E63" s="5" t="n">
        <v>47.166</v>
      </c>
      <c r="F63" s="5" t="n">
        <v>49.083</v>
      </c>
      <c r="G63" s="5">
        <f>IF(OR(E63="",F63=""),"",F63-E63)</f>
        <v/>
      </c>
      <c r="H63" s="6">
        <f>IFERROR(G63/E63,"")</f>
        <v/>
      </c>
      <c r="I63" s="44" t="inlineStr">
        <is>
          <t>DOĞRU</t>
        </is>
      </c>
      <c r="J63" s="45" t="inlineStr">
        <is>
          <t>https://kur.doviz.com/serbest-piyasa/amerikan-dolari</t>
        </is>
      </c>
      <c r="K63" s="5" t="n">
        <v>1.917</v>
      </c>
      <c r="L63" s="6" t="n">
        <v>0.0406</v>
      </c>
      <c r="M63" s="46" t="inlineStr"/>
      <c r="N63" s="47" t="n">
        <v>0.5667592592592593</v>
      </c>
    </row>
    <row r="64">
      <c r="A64" s="2" t="n">
        <v>46262</v>
      </c>
      <c r="B64" s="3" t="n">
        <v>0.6021875</v>
      </c>
      <c r="C64" s="11" t="inlineStr">
        <is>
          <t>CEPTETEB</t>
        </is>
      </c>
      <c r="D64" t="inlineStr">
        <is>
          <t>DOLAR</t>
        </is>
      </c>
      <c r="E64" s="5" t="n">
        <v>47.166</v>
      </c>
      <c r="F64" s="5" t="n">
        <v>49.083</v>
      </c>
      <c r="G64" s="5">
        <f>IF(OR(E64="",F64=""),"",F64-E64)</f>
        <v/>
      </c>
      <c r="H64" s="6">
        <f>IFERROR(G64/E64,"")</f>
        <v/>
      </c>
      <c r="I64" s="44" t="inlineStr">
        <is>
          <t>DOĞRU</t>
        </is>
      </c>
      <c r="J64" s="45" t="inlineStr">
        <is>
          <t>https://kur.doviz.com/serbest-piyasa/amerikan-dolari</t>
        </is>
      </c>
      <c r="K64" s="5" t="n">
        <v>1.917</v>
      </c>
      <c r="L64" s="6" t="n">
        <v>0.0406</v>
      </c>
      <c r="M64" s="46" t="inlineStr"/>
      <c r="N64" s="47" t="n">
        <v>0.6023379629629629</v>
      </c>
    </row>
    <row r="65">
      <c r="A65" s="2" t="n">
        <v>46262</v>
      </c>
      <c r="B65" s="3" t="n">
        <v>0.6194560185185185</v>
      </c>
      <c r="C65" s="11" t="inlineStr">
        <is>
          <t>CEPTETEB</t>
        </is>
      </c>
      <c r="D65" t="inlineStr">
        <is>
          <t>DOLAR</t>
        </is>
      </c>
      <c r="E65" s="5" t="n">
        <v>47.166</v>
      </c>
      <c r="F65" s="5" t="n">
        <v>49.083</v>
      </c>
      <c r="G65" s="5">
        <f>IF(OR(E65="",F65=""),"",F65-E65)</f>
        <v/>
      </c>
      <c r="H65" s="6">
        <f>IFERROR(G65/E65,"")</f>
        <v/>
      </c>
      <c r="I65" s="44" t="inlineStr">
        <is>
          <t>DOĞRU</t>
        </is>
      </c>
      <c r="J65" s="45" t="inlineStr">
        <is>
          <t>https://kur.doviz.com/serbest-piyasa/amerikan-dolari</t>
        </is>
      </c>
      <c r="K65" s="5" t="n">
        <v>1.917</v>
      </c>
      <c r="L65" s="6" t="n">
        <v>0.0406</v>
      </c>
      <c r="M65" s="46" t="inlineStr"/>
      <c r="N65" s="47" t="n">
        <v>0.6196180555555556</v>
      </c>
    </row>
    <row r="66">
      <c r="A66" s="2" t="n">
        <v>46262</v>
      </c>
      <c r="B66" s="3" t="n">
        <v>0.5570949074074074</v>
      </c>
      <c r="C66" s="11" t="inlineStr">
        <is>
          <t>CEPTETEB</t>
        </is>
      </c>
      <c r="D66" t="inlineStr">
        <is>
          <t>EURO</t>
        </is>
      </c>
      <c r="E66" s="5" t="n">
        <v>54.901</v>
      </c>
      <c r="F66" s="5" t="n">
        <v>57.143</v>
      </c>
      <c r="G66" s="5">
        <f>IF(OR(E66="",F66=""),"",F66-E66)</f>
        <v/>
      </c>
      <c r="H66" s="6">
        <f>IFERROR(G66/E66,"")</f>
        <v/>
      </c>
      <c r="I66" s="44" t="inlineStr">
        <is>
          <t>DOĞRU</t>
        </is>
      </c>
      <c r="J66" s="45" t="inlineStr">
        <is>
          <t>https://kur.doviz.com/serbest-piyasa/euro</t>
        </is>
      </c>
      <c r="K66" s="5" t="n">
        <v>2.242</v>
      </c>
      <c r="L66" s="6" t="n">
        <v>0.0408</v>
      </c>
      <c r="M66" s="46" t="inlineStr"/>
      <c r="N66" s="47" t="n">
        <v>0.5574074074074075</v>
      </c>
    </row>
    <row r="67">
      <c r="A67" s="2" t="n">
        <v>46262</v>
      </c>
      <c r="B67" s="3" t="n">
        <v>0.5665625</v>
      </c>
      <c r="C67" s="11" t="inlineStr">
        <is>
          <t>CEPTETEB</t>
        </is>
      </c>
      <c r="D67" t="inlineStr">
        <is>
          <t>EURO</t>
        </is>
      </c>
      <c r="E67" s="5" t="n">
        <v>54.925</v>
      </c>
      <c r="F67" s="5" t="n">
        <v>57.162</v>
      </c>
      <c r="G67" s="5">
        <f>IF(OR(E67="",F67=""),"",F67-E67)</f>
        <v/>
      </c>
      <c r="H67" s="6">
        <f>IFERROR(G67/E67,"")</f>
        <v/>
      </c>
      <c r="I67" s="44" t="inlineStr">
        <is>
          <t>DOĞRU</t>
        </is>
      </c>
      <c r="J67" s="45" t="inlineStr">
        <is>
          <t>https://kur.doviz.com/serbest-piyasa/euro</t>
        </is>
      </c>
      <c r="K67" s="5" t="n">
        <v>2.237</v>
      </c>
      <c r="L67" s="6" t="n">
        <v>0.0407</v>
      </c>
      <c r="M67" s="46" t="inlineStr"/>
      <c r="N67" s="47" t="n">
        <v>0.5669097222222222</v>
      </c>
    </row>
    <row r="68">
      <c r="A68" s="2" t="n">
        <v>46262</v>
      </c>
      <c r="B68" s="3" t="n">
        <v>0.6021875</v>
      </c>
      <c r="C68" s="11" t="inlineStr">
        <is>
          <t>CEPTETEB</t>
        </is>
      </c>
      <c r="D68" t="inlineStr">
        <is>
          <t>EURO</t>
        </is>
      </c>
      <c r="E68" s="5" t="n">
        <v>54.935</v>
      </c>
      <c r="F68" s="5" t="n">
        <v>57.177</v>
      </c>
      <c r="G68" s="5">
        <f>IF(OR(E68="",F68=""),"",F68-E68)</f>
        <v/>
      </c>
      <c r="H68" s="6">
        <f>IFERROR(G68/E68,"")</f>
        <v/>
      </c>
      <c r="I68" s="44" t="inlineStr">
        <is>
          <t>DOĞRU</t>
        </is>
      </c>
      <c r="J68" s="45" t="inlineStr">
        <is>
          <t>https://kur.doviz.com/serbest-piyasa/euro</t>
        </is>
      </c>
      <c r="K68" s="5" t="n">
        <v>2.242</v>
      </c>
      <c r="L68" s="6" t="n">
        <v>0.0408</v>
      </c>
      <c r="M68" s="46" t="inlineStr"/>
      <c r="N68" s="47" t="n">
        <v>0.6024884259259259</v>
      </c>
    </row>
    <row r="69">
      <c r="A69" s="2" t="n">
        <v>46262</v>
      </c>
      <c r="B69" s="3" t="n">
        <v>0.6194560185185185</v>
      </c>
      <c r="C69" s="11" t="inlineStr">
        <is>
          <t>CEPTETEB</t>
        </is>
      </c>
      <c r="D69" t="inlineStr">
        <is>
          <t>EURO</t>
        </is>
      </c>
      <c r="E69" s="5" t="n">
        <v>54.92</v>
      </c>
      <c r="F69" s="5" t="n">
        <v>57.157</v>
      </c>
      <c r="G69" s="5">
        <f>IF(OR(E69="",F69=""),"",F69-E69)</f>
        <v/>
      </c>
      <c r="H69" s="6">
        <f>IFERROR(G69/E69,"")</f>
        <v/>
      </c>
      <c r="I69" s="44" t="inlineStr">
        <is>
          <t>DOĞRU</t>
        </is>
      </c>
      <c r="J69" s="45" t="inlineStr">
        <is>
          <t>https://kur.doviz.com/serbest-piyasa/euro</t>
        </is>
      </c>
      <c r="K69" s="5" t="n">
        <v>2.24</v>
      </c>
      <c r="L69" s="6" t="n">
        <v>0.0408</v>
      </c>
      <c r="M69" s="46" t="inlineStr"/>
      <c r="N69" s="47" t="n">
        <v>0.6196990740740741</v>
      </c>
    </row>
    <row r="70">
      <c r="A70" s="2" t="n">
        <v>46262</v>
      </c>
      <c r="B70" s="3" t="n">
        <v>0.5570949074074074</v>
      </c>
      <c r="C70" s="11" t="inlineStr">
        <is>
          <t>CEPTETEB</t>
        </is>
      </c>
      <c r="D70" t="inlineStr">
        <is>
          <t>GRAM_ALTIN</t>
        </is>
      </c>
      <c r="E70" s="5" t="n">
        <v>7009.17</v>
      </c>
      <c r="F70" s="5" t="n">
        <v>7203.12</v>
      </c>
      <c r="G70" s="5">
        <f>IF(OR(E70="",F70=""),"",F70-E70)</f>
        <v/>
      </c>
      <c r="H70" s="6">
        <f>IFERROR(G70/E70,"")</f>
        <v/>
      </c>
      <c r="I70" s="44" t="inlineStr">
        <is>
          <t>DOĞRU</t>
        </is>
      </c>
      <c r="J70" s="45" t="inlineStr">
        <is>
          <t>https://altin.doviz.com/gram-altin</t>
        </is>
      </c>
      <c r="K70" s="5" t="n">
        <v>193.95</v>
      </c>
      <c r="L70" s="6" t="n">
        <v>0.0277</v>
      </c>
      <c r="M70" s="46" t="inlineStr"/>
      <c r="N70" s="47" t="n">
        <v>0.5575578703703704</v>
      </c>
    </row>
    <row r="71">
      <c r="A71" s="2" t="n">
        <v>46262</v>
      </c>
      <c r="B71" s="3" t="n">
        <v>0.5665625</v>
      </c>
      <c r="C71" s="11" t="inlineStr">
        <is>
          <t>CEPTETEB</t>
        </is>
      </c>
      <c r="D71" t="inlineStr">
        <is>
          <t>GRAM_ALTIN</t>
        </is>
      </c>
      <c r="E71" s="5" t="n">
        <v>7012.46</v>
      </c>
      <c r="F71" s="5" t="n">
        <v>7205.91</v>
      </c>
      <c r="G71" s="5">
        <f>IF(OR(E71="",F71=""),"",F71-E71)</f>
        <v/>
      </c>
      <c r="H71" s="6">
        <f>IFERROR(G71/E71,"")</f>
        <v/>
      </c>
      <c r="I71" s="44" t="inlineStr">
        <is>
          <t>DOĞRU</t>
        </is>
      </c>
      <c r="J71" s="45" t="inlineStr">
        <is>
          <t>https://altin.doviz.com/gram-altin</t>
        </is>
      </c>
      <c r="K71" s="5" t="n">
        <v>193.45</v>
      </c>
      <c r="L71" s="6" t="n">
        <v>0.0276</v>
      </c>
      <c r="M71" s="46" t="inlineStr"/>
      <c r="N71" s="47" t="n">
        <v>0.5670601851851852</v>
      </c>
    </row>
    <row r="72">
      <c r="A72" s="2" t="n">
        <v>46262</v>
      </c>
      <c r="B72" s="3" t="n">
        <v>0.6021875</v>
      </c>
      <c r="C72" s="11" t="inlineStr">
        <is>
          <t>CEPTETEB</t>
        </is>
      </c>
      <c r="D72" t="inlineStr">
        <is>
          <t>GRAM_ALTIN</t>
        </is>
      </c>
      <c r="E72" s="5" t="n">
        <v>7002.85</v>
      </c>
      <c r="F72" s="5" t="n">
        <v>7196.3</v>
      </c>
      <c r="G72" s="5">
        <f>IF(OR(E72="",F72=""),"",F72-E72)</f>
        <v/>
      </c>
      <c r="H72" s="6">
        <f>IFERROR(G72/E72,"")</f>
        <v/>
      </c>
      <c r="I72" s="44" t="inlineStr">
        <is>
          <t>DOĞRU</t>
        </is>
      </c>
      <c r="J72" s="45" t="inlineStr">
        <is>
          <t>https://altin.doviz.com/gram-altin</t>
        </is>
      </c>
      <c r="K72" s="5" t="n">
        <v>193.44</v>
      </c>
      <c r="L72" s="6" t="n">
        <v>0.0276</v>
      </c>
      <c r="M72" s="46" t="inlineStr"/>
      <c r="N72" s="47" t="n">
        <v>0.6026388888888888</v>
      </c>
    </row>
    <row r="73">
      <c r="A73" s="2" t="n">
        <v>46262</v>
      </c>
      <c r="B73" s="3" t="n">
        <v>0.6194560185185185</v>
      </c>
      <c r="C73" s="11" t="inlineStr">
        <is>
          <t>CEPTETEB</t>
        </is>
      </c>
      <c r="D73" t="inlineStr">
        <is>
          <t>GRAM_ALTIN</t>
        </is>
      </c>
      <c r="E73" s="5" t="n">
        <v>6993.35</v>
      </c>
      <c r="F73" s="5" t="n">
        <v>7187.04</v>
      </c>
      <c r="G73" s="5">
        <f>IF(OR(E73="",F73=""),"",F73-E73)</f>
        <v/>
      </c>
      <c r="H73" s="6">
        <f>IFERROR(G73/E73,"")</f>
        <v/>
      </c>
      <c r="I73" s="44" t="inlineStr">
        <is>
          <t>DOĞRU</t>
        </is>
      </c>
      <c r="J73" s="45" t="inlineStr">
        <is>
          <t>https://altin.doviz.com/gram-altin</t>
        </is>
      </c>
      <c r="K73" s="5" t="n">
        <v>193.68</v>
      </c>
      <c r="L73" s="6" t="n">
        <v>0.0277</v>
      </c>
      <c r="M73" s="46" t="inlineStr"/>
      <c r="N73" s="47" t="n">
        <v>0.619849537037037</v>
      </c>
    </row>
    <row r="74">
      <c r="A74" s="2" t="n">
        <v>46262</v>
      </c>
      <c r="B74" s="3" t="n">
        <v>0.5570949074074074</v>
      </c>
      <c r="C74" s="12" t="inlineStr">
        <is>
          <t>Denizbank</t>
        </is>
      </c>
      <c r="D74" t="inlineStr">
        <is>
          <t>DOLAR</t>
        </is>
      </c>
      <c r="E74" s="5" t="n">
        <v>47.4203</v>
      </c>
      <c r="F74" s="5" t="n">
        <v>48.8204</v>
      </c>
      <c r="G74" s="5">
        <f>IF(OR(E74="",F74=""),"",F74-E74)</f>
        <v/>
      </c>
      <c r="H74" s="6">
        <f>IFERROR(G74/E74,"")</f>
        <v/>
      </c>
      <c r="I74" s="44" t="inlineStr">
        <is>
          <t>DOĞRU</t>
        </is>
      </c>
      <c r="J74" s="45" t="inlineStr">
        <is>
          <t>https://kur.doviz.com/serbest-piyasa/amerikan-dolari</t>
        </is>
      </c>
      <c r="K74" s="5" t="n">
        <v>1.4001</v>
      </c>
      <c r="L74" s="6" t="n">
        <v>0.0295</v>
      </c>
      <c r="M74" s="46" t="inlineStr"/>
      <c r="N74" s="47" t="n">
        <v>0.5572569444444444</v>
      </c>
    </row>
    <row r="75">
      <c r="A75" s="2" t="n">
        <v>46262</v>
      </c>
      <c r="B75" s="3" t="n">
        <v>0.5665625</v>
      </c>
      <c r="C75" s="12" t="inlineStr">
        <is>
          <t>Denizbank</t>
        </is>
      </c>
      <c r="D75" t="inlineStr">
        <is>
          <t>DOLAR</t>
        </is>
      </c>
      <c r="E75" s="5" t="n">
        <v>47.4194</v>
      </c>
      <c r="F75" s="5" t="n">
        <v>48.8195</v>
      </c>
      <c r="G75" s="5">
        <f>IF(OR(E75="",F75=""),"",F75-E75)</f>
        <v/>
      </c>
      <c r="H75" s="6">
        <f>IFERROR(G75/E75,"")</f>
        <v/>
      </c>
      <c r="I75" s="44" t="inlineStr">
        <is>
          <t>DOĞRU</t>
        </is>
      </c>
      <c r="J75" s="45" t="inlineStr">
        <is>
          <t>https://kur.doviz.com/serbest-piyasa/amerikan-dolari</t>
        </is>
      </c>
      <c r="K75" s="5" t="n">
        <v>1.4001</v>
      </c>
      <c r="L75" s="6" t="n">
        <v>0.0295</v>
      </c>
      <c r="M75" s="46" t="inlineStr"/>
      <c r="N75" s="47" t="n">
        <v>0.5667592592592593</v>
      </c>
    </row>
    <row r="76">
      <c r="A76" s="2" t="n">
        <v>46262</v>
      </c>
      <c r="B76" s="3" t="n">
        <v>0.6021875</v>
      </c>
      <c r="C76" s="12" t="inlineStr">
        <is>
          <t>Denizbank</t>
        </is>
      </c>
      <c r="D76" t="inlineStr">
        <is>
          <t>DOLAR</t>
        </is>
      </c>
      <c r="E76" s="5" t="n">
        <v>47.4198</v>
      </c>
      <c r="F76" s="5" t="n">
        <v>48.8199</v>
      </c>
      <c r="G76" s="5">
        <f>IF(OR(E76="",F76=""),"",F76-E76)</f>
        <v/>
      </c>
      <c r="H76" s="6">
        <f>IFERROR(G76/E76,"")</f>
        <v/>
      </c>
      <c r="I76" s="44" t="inlineStr">
        <is>
          <t>DOĞRU</t>
        </is>
      </c>
      <c r="J76" s="45" t="inlineStr">
        <is>
          <t>https://kur.doviz.com/serbest-piyasa/amerikan-dolari</t>
        </is>
      </c>
      <c r="K76" s="5" t="n">
        <v>1.4001</v>
      </c>
      <c r="L76" s="6" t="n">
        <v>0.0295</v>
      </c>
      <c r="M76" s="46" t="inlineStr"/>
      <c r="N76" s="47" t="n">
        <v>0.6023379629629629</v>
      </c>
    </row>
    <row r="77">
      <c r="A77" s="2" t="n">
        <v>46262</v>
      </c>
      <c r="B77" s="3" t="n">
        <v>0.6194560185185185</v>
      </c>
      <c r="C77" s="12" t="inlineStr">
        <is>
          <t>Denizbank</t>
        </is>
      </c>
      <c r="D77" t="inlineStr">
        <is>
          <t>DOLAR</t>
        </is>
      </c>
      <c r="E77" s="5" t="n">
        <v>47.42</v>
      </c>
      <c r="F77" s="5" t="n">
        <v>48.8201</v>
      </c>
      <c r="G77" s="5">
        <f>IF(OR(E77="",F77=""),"",F77-E77)</f>
        <v/>
      </c>
      <c r="H77" s="6">
        <f>IFERROR(G77/E77,"")</f>
        <v/>
      </c>
      <c r="I77" s="44" t="inlineStr">
        <is>
          <t>DOĞRU</t>
        </is>
      </c>
      <c r="J77" s="45" t="inlineStr">
        <is>
          <t>https://kur.doviz.com/serbest-piyasa/amerikan-dolari</t>
        </is>
      </c>
      <c r="K77" s="5" t="n">
        <v>1.4001</v>
      </c>
      <c r="L77" s="6" t="n">
        <v>0.0295</v>
      </c>
      <c r="M77" s="46" t="inlineStr"/>
      <c r="N77" s="47" t="n">
        <v>0.6196180555555556</v>
      </c>
    </row>
    <row r="78">
      <c r="A78" s="2" t="n">
        <v>46262</v>
      </c>
      <c r="B78" s="3" t="n">
        <v>0.5570949074074074</v>
      </c>
      <c r="C78" s="12" t="inlineStr">
        <is>
          <t>Denizbank</t>
        </is>
      </c>
      <c r="D78" t="inlineStr">
        <is>
          <t>EURO</t>
        </is>
      </c>
      <c r="E78" s="5" t="n">
        <v>55.1945</v>
      </c>
      <c r="F78" s="5" t="n">
        <v>56.8241</v>
      </c>
      <c r="G78" s="5">
        <f>IF(OR(E78="",F78=""),"",F78-E78)</f>
        <v/>
      </c>
      <c r="H78" s="6">
        <f>IFERROR(G78/E78,"")</f>
        <v/>
      </c>
      <c r="I78" s="44" t="inlineStr">
        <is>
          <t>DOĞRU</t>
        </is>
      </c>
      <c r="J78" s="45" t="inlineStr">
        <is>
          <t>https://kur.doviz.com/serbest-piyasa/euro</t>
        </is>
      </c>
      <c r="K78" s="5" t="n">
        <v>1.6296</v>
      </c>
      <c r="L78" s="6" t="n">
        <v>0.0295</v>
      </c>
      <c r="M78" s="46" t="inlineStr"/>
      <c r="N78" s="47" t="n">
        <v>0.5574074074074075</v>
      </c>
    </row>
    <row r="79">
      <c r="A79" s="2" t="n">
        <v>46262</v>
      </c>
      <c r="B79" s="3" t="n">
        <v>0.5665625</v>
      </c>
      <c r="C79" s="12" t="inlineStr">
        <is>
          <t>Denizbank</t>
        </is>
      </c>
      <c r="D79" t="inlineStr">
        <is>
          <t>EURO</t>
        </is>
      </c>
      <c r="E79" s="5" t="n">
        <v>55.2124</v>
      </c>
      <c r="F79" s="5" t="n">
        <v>56.8475</v>
      </c>
      <c r="G79" s="5">
        <f>IF(OR(E79="",F79=""),"",F79-E79)</f>
        <v/>
      </c>
      <c r="H79" s="6">
        <f>IFERROR(G79/E79,"")</f>
        <v/>
      </c>
      <c r="I79" s="44" t="inlineStr">
        <is>
          <t>DOĞRU</t>
        </is>
      </c>
      <c r="J79" s="45" t="inlineStr">
        <is>
          <t>https://kur.doviz.com/serbest-piyasa/euro</t>
        </is>
      </c>
      <c r="K79" s="5" t="n">
        <v>1.6351</v>
      </c>
      <c r="L79" s="6" t="n">
        <v>0.0296</v>
      </c>
      <c r="M79" s="46" t="inlineStr"/>
      <c r="N79" s="47" t="n">
        <v>0.5669097222222222</v>
      </c>
    </row>
    <row r="80">
      <c r="A80" s="2" t="n">
        <v>46262</v>
      </c>
      <c r="B80" s="3" t="n">
        <v>0.6021875</v>
      </c>
      <c r="C80" s="12" t="inlineStr">
        <is>
          <t>Denizbank</t>
        </is>
      </c>
      <c r="D80" t="inlineStr">
        <is>
          <t>EURO</t>
        </is>
      </c>
      <c r="E80" s="5" t="n">
        <v>55.2175</v>
      </c>
      <c r="F80" s="5" t="n">
        <v>56.8527</v>
      </c>
      <c r="G80" s="5">
        <f>IF(OR(E80="",F80=""),"",F80-E80)</f>
        <v/>
      </c>
      <c r="H80" s="6">
        <f>IFERROR(G80/E80,"")</f>
        <v/>
      </c>
      <c r="I80" s="44" t="inlineStr">
        <is>
          <t>DOĞRU</t>
        </is>
      </c>
      <c r="J80" s="45" t="inlineStr">
        <is>
          <t>https://kur.doviz.com/serbest-piyasa/euro</t>
        </is>
      </c>
      <c r="K80" s="5" t="n">
        <v>1.6352</v>
      </c>
      <c r="L80" s="6" t="n">
        <v>0.0296</v>
      </c>
      <c r="M80" s="46" t="inlineStr"/>
      <c r="N80" s="47" t="n">
        <v>0.6024884259259259</v>
      </c>
    </row>
    <row r="81">
      <c r="A81" s="2" t="n">
        <v>46262</v>
      </c>
      <c r="B81" s="3" t="n">
        <v>0.6194560185185185</v>
      </c>
      <c r="C81" s="12" t="inlineStr">
        <is>
          <t>Denizbank</t>
        </is>
      </c>
      <c r="D81" t="inlineStr">
        <is>
          <t>EURO</t>
        </is>
      </c>
      <c r="E81" s="5" t="n">
        <v>55.213</v>
      </c>
      <c r="F81" s="5" t="n">
        <v>56.8432</v>
      </c>
      <c r="G81" s="5">
        <f>IF(OR(E81="",F81=""),"",F81-E81)</f>
        <v/>
      </c>
      <c r="H81" s="6">
        <f>IFERROR(G81/E81,"")</f>
        <v/>
      </c>
      <c r="I81" s="44" t="inlineStr">
        <is>
          <t>DOĞRU</t>
        </is>
      </c>
      <c r="J81" s="45" t="inlineStr">
        <is>
          <t>https://kur.doviz.com/serbest-piyasa/euro</t>
        </is>
      </c>
      <c r="K81" s="5" t="n">
        <v>1.63</v>
      </c>
      <c r="L81" s="6" t="n">
        <v>0.0296</v>
      </c>
      <c r="M81" s="46" t="inlineStr"/>
      <c r="N81" s="47" t="n">
        <v>0.6196990740740741</v>
      </c>
    </row>
    <row r="82">
      <c r="A82" s="2" t="n">
        <v>46262</v>
      </c>
      <c r="B82" s="3" t="n">
        <v>0.5570949074074074</v>
      </c>
      <c r="C82" s="12" t="inlineStr">
        <is>
          <t>Denizbank</t>
        </is>
      </c>
      <c r="D82" t="inlineStr">
        <is>
          <t>GRAM_ALTIN</t>
        </is>
      </c>
      <c r="E82" s="5" t="n">
        <v>7019.29</v>
      </c>
      <c r="F82" s="5" t="n">
        <v>7227.61</v>
      </c>
      <c r="G82" s="5">
        <f>IF(OR(E82="",F82=""),"",F82-E82)</f>
        <v/>
      </c>
      <c r="H82" s="6">
        <f>IFERROR(G82/E82,"")</f>
        <v/>
      </c>
      <c r="I82" s="44" t="inlineStr">
        <is>
          <t>DOĞRU</t>
        </is>
      </c>
      <c r="J82" s="45" t="inlineStr">
        <is>
          <t>https://altin.doviz.com/gram-altin</t>
        </is>
      </c>
      <c r="K82" s="5" t="n">
        <v>208.32</v>
      </c>
      <c r="L82" s="6" t="n">
        <v>0.0297</v>
      </c>
      <c r="M82" s="46" t="inlineStr"/>
      <c r="N82" s="47" t="n">
        <v>0.5575578703703704</v>
      </c>
    </row>
    <row r="83">
      <c r="A83" s="2" t="n">
        <v>46262</v>
      </c>
      <c r="B83" s="3" t="n">
        <v>0.5665625</v>
      </c>
      <c r="C83" s="12" t="inlineStr">
        <is>
          <t>Denizbank</t>
        </is>
      </c>
      <c r="D83" t="inlineStr">
        <is>
          <t>GRAM_ALTIN</t>
        </is>
      </c>
      <c r="E83" s="5" t="n">
        <v>7021.23</v>
      </c>
      <c r="F83" s="5" t="n">
        <v>7229.64</v>
      </c>
      <c r="G83" s="5">
        <f>IF(OR(E83="",F83=""),"",F83-E83)</f>
        <v/>
      </c>
      <c r="H83" s="6">
        <f>IFERROR(G83/E83,"")</f>
        <v/>
      </c>
      <c r="I83" s="44" t="inlineStr">
        <is>
          <t>DOĞRU</t>
        </is>
      </c>
      <c r="J83" s="45" t="inlineStr">
        <is>
          <t>https://altin.doviz.com/gram-altin</t>
        </is>
      </c>
      <c r="K83" s="5" t="n">
        <v>208.41</v>
      </c>
      <c r="L83" s="6" t="n">
        <v>0.0297</v>
      </c>
      <c r="M83" s="46" t="inlineStr"/>
      <c r="N83" s="47" t="n">
        <v>0.5670601851851852</v>
      </c>
    </row>
    <row r="84">
      <c r="A84" s="2" t="n">
        <v>46262</v>
      </c>
      <c r="B84" s="3" t="n">
        <v>0.6021875</v>
      </c>
      <c r="C84" s="12" t="inlineStr">
        <is>
          <t>Denizbank</t>
        </is>
      </c>
      <c r="D84" t="inlineStr">
        <is>
          <t>GRAM_ALTIN</t>
        </is>
      </c>
      <c r="E84" s="5" t="n">
        <v>7011.68</v>
      </c>
      <c r="F84" s="5" t="n">
        <v>7219.77</v>
      </c>
      <c r="G84" s="5">
        <f>IF(OR(E84="",F84=""),"",F84-E84)</f>
        <v/>
      </c>
      <c r="H84" s="6">
        <f>IFERROR(G84/E84,"")</f>
        <v/>
      </c>
      <c r="I84" s="44" t="inlineStr">
        <is>
          <t>DOĞRU</t>
        </is>
      </c>
      <c r="J84" s="45" t="inlineStr">
        <is>
          <t>https://altin.doviz.com/gram-altin</t>
        </is>
      </c>
      <c r="K84" s="5" t="n">
        <v>208.09</v>
      </c>
      <c r="L84" s="6" t="n">
        <v>0.0297</v>
      </c>
      <c r="M84" s="46" t="inlineStr"/>
      <c r="N84" s="47" t="n">
        <v>0.6026388888888888</v>
      </c>
    </row>
    <row r="85">
      <c r="A85" s="2" t="n">
        <v>46262</v>
      </c>
      <c r="B85" s="3" t="n">
        <v>0.6194560185185185</v>
      </c>
      <c r="C85" s="12" t="inlineStr">
        <is>
          <t>Denizbank</t>
        </is>
      </c>
      <c r="D85" t="inlineStr">
        <is>
          <t>GRAM_ALTIN</t>
        </is>
      </c>
      <c r="E85" s="5" t="n">
        <v>7002.85</v>
      </c>
      <c r="F85" s="5" t="n">
        <v>7210.62</v>
      </c>
      <c r="G85" s="5">
        <f>IF(OR(E85="",F85=""),"",F85-E85)</f>
        <v/>
      </c>
      <c r="H85" s="6">
        <f>IFERROR(G85/E85,"")</f>
        <v/>
      </c>
      <c r="I85" s="44" t="inlineStr">
        <is>
          <t>DOĞRU</t>
        </is>
      </c>
      <c r="J85" s="45" t="inlineStr">
        <is>
          <t>https://altin.doviz.com/gram-altin</t>
        </is>
      </c>
      <c r="K85" s="5" t="n">
        <v>207.77</v>
      </c>
      <c r="L85" s="6" t="n">
        <v>0.0297</v>
      </c>
      <c r="M85" s="46" t="inlineStr"/>
      <c r="N85" s="47" t="n">
        <v>0.619849537037037</v>
      </c>
    </row>
    <row r="86">
      <c r="A86" s="2" t="n">
        <v>46262</v>
      </c>
      <c r="B86" s="3" t="n">
        <v>0.5570949074074074</v>
      </c>
      <c r="C86" s="13" t="inlineStr">
        <is>
          <t>DestekBank</t>
        </is>
      </c>
      <c r="D86" t="inlineStr">
        <is>
          <t>DOLAR</t>
        </is>
      </c>
      <c r="E86" s="5" t="n">
        <v>48.0771</v>
      </c>
      <c r="F86" s="5" t="n">
        <v>48.1462</v>
      </c>
      <c r="G86" s="5">
        <f>IF(OR(E86="",F86=""),"",F86-E86)</f>
        <v/>
      </c>
      <c r="H86" s="6">
        <f>IFERROR(G86/E86,"")</f>
        <v/>
      </c>
      <c r="I86" s="44" t="inlineStr">
        <is>
          <t>DOĞRU</t>
        </is>
      </c>
      <c r="J86" s="45" t="inlineStr">
        <is>
          <t>https://kur.doviz.com/serbest-piyasa/amerikan-dolari</t>
        </is>
      </c>
      <c r="K86" s="5" t="n">
        <v>0.06909999999999999</v>
      </c>
      <c r="L86" s="6" t="n">
        <v>0.0014</v>
      </c>
      <c r="M86" s="46" t="inlineStr"/>
      <c r="N86" s="47" t="n">
        <v>0.5572569444444444</v>
      </c>
    </row>
    <row r="87">
      <c r="A87" s="2" t="n">
        <v>46262</v>
      </c>
      <c r="B87" s="3" t="n">
        <v>0.5665625</v>
      </c>
      <c r="C87" s="13" t="inlineStr">
        <is>
          <t>DestekBank</t>
        </is>
      </c>
      <c r="D87" t="inlineStr">
        <is>
          <t>DOLAR</t>
        </is>
      </c>
      <c r="E87" s="5" t="n">
        <v>48.077</v>
      </c>
      <c r="F87" s="5" t="n">
        <v>48.146</v>
      </c>
      <c r="G87" s="5">
        <f>IF(OR(E87="",F87=""),"",F87-E87)</f>
        <v/>
      </c>
      <c r="H87" s="6">
        <f>IFERROR(G87/E87,"")</f>
        <v/>
      </c>
      <c r="I87" s="44" t="inlineStr">
        <is>
          <t>DOĞRU</t>
        </is>
      </c>
      <c r="J87" s="45" t="inlineStr">
        <is>
          <t>https://kur.doviz.com/serbest-piyasa/amerikan-dolari</t>
        </is>
      </c>
      <c r="K87" s="5" t="n">
        <v>0.06900000000000001</v>
      </c>
      <c r="L87" s="6" t="n">
        <v>0.0014</v>
      </c>
      <c r="M87" s="46" t="inlineStr"/>
      <c r="N87" s="47" t="n">
        <v>0.5667592592592593</v>
      </c>
    </row>
    <row r="88">
      <c r="A88" s="2" t="n">
        <v>46262</v>
      </c>
      <c r="B88" s="3" t="n">
        <v>0.6021875</v>
      </c>
      <c r="C88" s="13" t="inlineStr">
        <is>
          <t>DestekBank</t>
        </is>
      </c>
      <c r="D88" t="inlineStr">
        <is>
          <t>DOLAR</t>
        </is>
      </c>
      <c r="E88" s="5" t="n">
        <v>48.077</v>
      </c>
      <c r="F88" s="5" t="n">
        <v>48.1459</v>
      </c>
      <c r="G88" s="5">
        <f>IF(OR(E88="",F88=""),"",F88-E88)</f>
        <v/>
      </c>
      <c r="H88" s="6">
        <f>IFERROR(G88/E88,"")</f>
        <v/>
      </c>
      <c r="I88" s="44" t="inlineStr">
        <is>
          <t>DOĞRU</t>
        </is>
      </c>
      <c r="J88" s="45" t="inlineStr">
        <is>
          <t>https://kur.doviz.com/serbest-piyasa/amerikan-dolari</t>
        </is>
      </c>
      <c r="K88" s="5" t="n">
        <v>0.0689</v>
      </c>
      <c r="L88" s="6" t="n">
        <v>0.0014</v>
      </c>
      <c r="M88" s="46" t="inlineStr"/>
      <c r="N88" s="47" t="n">
        <v>0.6023379629629629</v>
      </c>
    </row>
    <row r="89">
      <c r="A89" s="2" t="n">
        <v>46262</v>
      </c>
      <c r="B89" s="3" t="n">
        <v>0.6194560185185185</v>
      </c>
      <c r="C89" s="13" t="inlineStr">
        <is>
          <t>DestekBank</t>
        </is>
      </c>
      <c r="D89" t="inlineStr">
        <is>
          <t>DOLAR</t>
        </is>
      </c>
      <c r="E89" s="5" t="n">
        <v>48.0768</v>
      </c>
      <c r="F89" s="5" t="n">
        <v>48.1459</v>
      </c>
      <c r="G89" s="5">
        <f>IF(OR(E89="",F89=""),"",F89-E89)</f>
        <v/>
      </c>
      <c r="H89" s="6">
        <f>IFERROR(G89/E89,"")</f>
        <v/>
      </c>
      <c r="I89" s="44" t="inlineStr">
        <is>
          <t>DOĞRU</t>
        </is>
      </c>
      <c r="J89" s="45" t="inlineStr">
        <is>
          <t>https://kur.doviz.com/serbest-piyasa/amerikan-dolari</t>
        </is>
      </c>
      <c r="K89" s="5" t="n">
        <v>0.06909999999999999</v>
      </c>
      <c r="L89" s="6" t="n">
        <v>0.0014</v>
      </c>
      <c r="M89" s="46" t="inlineStr"/>
      <c r="N89" s="47" t="n">
        <v>0.6196180555555556</v>
      </c>
    </row>
    <row r="90">
      <c r="A90" s="2" t="n">
        <v>46262</v>
      </c>
      <c r="B90" s="3" t="n">
        <v>0.5570949074074074</v>
      </c>
      <c r="C90" s="13" t="inlineStr">
        <is>
          <t>DestekBank</t>
        </is>
      </c>
      <c r="D90" t="inlineStr">
        <is>
          <t>EURO</t>
        </is>
      </c>
      <c r="E90" s="5" t="n">
        <v>55.9461</v>
      </c>
      <c r="F90" s="5" t="n">
        <v>56.0434</v>
      </c>
      <c r="G90" s="5">
        <f>IF(OR(E90="",F90=""),"",F90-E90)</f>
        <v/>
      </c>
      <c r="H90" s="6">
        <f>IFERROR(G90/E90,"")</f>
        <v/>
      </c>
      <c r="I90" s="44" t="inlineStr">
        <is>
          <t>DOĞRU</t>
        </is>
      </c>
      <c r="J90" s="45" t="inlineStr">
        <is>
          <t>https://kur.doviz.com/serbest-piyasa/euro</t>
        </is>
      </c>
      <c r="K90" s="5" t="n">
        <v>0.0973</v>
      </c>
      <c r="L90" s="6" t="n">
        <v>0.0017</v>
      </c>
      <c r="M90" s="46" t="inlineStr"/>
      <c r="N90" s="47" t="n">
        <v>0.5574074074074075</v>
      </c>
    </row>
    <row r="91">
      <c r="A91" s="2" t="n">
        <v>46262</v>
      </c>
      <c r="B91" s="3" t="n">
        <v>0.5665625</v>
      </c>
      <c r="C91" s="13" t="inlineStr">
        <is>
          <t>DestekBank</t>
        </is>
      </c>
      <c r="D91" t="inlineStr">
        <is>
          <t>EURO</t>
        </is>
      </c>
      <c r="E91" s="5" t="n">
        <v>55.9699</v>
      </c>
      <c r="F91" s="5" t="n">
        <v>56.0673</v>
      </c>
      <c r="G91" s="5">
        <f>IF(OR(E91="",F91=""),"",F91-E91)</f>
        <v/>
      </c>
      <c r="H91" s="6">
        <f>IFERROR(G91/E91,"")</f>
        <v/>
      </c>
      <c r="I91" s="44" t="inlineStr">
        <is>
          <t>DOĞRU</t>
        </is>
      </c>
      <c r="J91" s="45" t="inlineStr">
        <is>
          <t>https://kur.doviz.com/serbest-piyasa/euro</t>
        </is>
      </c>
      <c r="K91" s="5" t="n">
        <v>0.0974</v>
      </c>
      <c r="L91" s="6" t="n">
        <v>0.0017</v>
      </c>
      <c r="M91" s="46" t="inlineStr"/>
      <c r="N91" s="47" t="n">
        <v>0.5669097222222222</v>
      </c>
    </row>
    <row r="92">
      <c r="A92" s="2" t="n">
        <v>46262</v>
      </c>
      <c r="B92" s="3" t="n">
        <v>0.6021875</v>
      </c>
      <c r="C92" s="13" t="inlineStr">
        <is>
          <t>DestekBank</t>
        </is>
      </c>
      <c r="D92" t="inlineStr">
        <is>
          <t>EURO</t>
        </is>
      </c>
      <c r="E92" s="5" t="n">
        <v>55.9795</v>
      </c>
      <c r="F92" s="5" t="n">
        <v>56.0767</v>
      </c>
      <c r="G92" s="5">
        <f>IF(OR(E92="",F92=""),"",F92-E92)</f>
        <v/>
      </c>
      <c r="H92" s="6">
        <f>IFERROR(G92/E92,"")</f>
        <v/>
      </c>
      <c r="I92" s="44" t="inlineStr">
        <is>
          <t>DOĞRU</t>
        </is>
      </c>
      <c r="J92" s="45" t="inlineStr">
        <is>
          <t>https://kur.doviz.com/serbest-piyasa/euro</t>
        </is>
      </c>
      <c r="K92" s="5" t="n">
        <v>0.09719999999999999</v>
      </c>
      <c r="L92" s="6" t="n">
        <v>0.0017</v>
      </c>
      <c r="M92" s="46" t="inlineStr"/>
      <c r="N92" s="47" t="n">
        <v>0.6024884259259259</v>
      </c>
    </row>
    <row r="93">
      <c r="A93" s="2" t="n">
        <v>46262</v>
      </c>
      <c r="B93" s="3" t="n">
        <v>0.6194560185185185</v>
      </c>
      <c r="C93" s="13" t="inlineStr">
        <is>
          <t>DestekBank</t>
        </is>
      </c>
      <c r="D93" t="inlineStr">
        <is>
          <t>EURO</t>
        </is>
      </c>
      <c r="E93" s="5" t="n">
        <v>55.965</v>
      </c>
      <c r="F93" s="5" t="n">
        <v>56.0672</v>
      </c>
      <c r="G93" s="5">
        <f>IF(OR(E93="",F93=""),"",F93-E93)</f>
        <v/>
      </c>
      <c r="H93" s="6">
        <f>IFERROR(G93/E93,"")</f>
        <v/>
      </c>
      <c r="I93" s="44" t="inlineStr">
        <is>
          <t>DOĞRU</t>
        </is>
      </c>
      <c r="J93" s="45" t="inlineStr">
        <is>
          <t>https://kur.doviz.com/serbest-piyasa/euro</t>
        </is>
      </c>
      <c r="K93" s="5" t="n">
        <v>0.1</v>
      </c>
      <c r="L93" s="6" t="n">
        <v>0.0017</v>
      </c>
      <c r="M93" s="46" t="inlineStr"/>
      <c r="N93" s="47" t="n">
        <v>0.6196990740740741</v>
      </c>
    </row>
    <row r="94">
      <c r="A94" s="2" t="n">
        <v>46262</v>
      </c>
      <c r="B94" s="3" t="n">
        <v>0.5570949074074074</v>
      </c>
      <c r="C94" s="13" t="inlineStr">
        <is>
          <t>DestekBank</t>
        </is>
      </c>
      <c r="D94" t="inlineStr">
        <is>
          <t>GRAM_ALTIN</t>
        </is>
      </c>
      <c r="E94" s="5" t="n">
        <v>7066.85</v>
      </c>
      <c r="F94" s="5" t="n">
        <v>7097.86</v>
      </c>
      <c r="G94" s="5">
        <f>IF(OR(E94="",F94=""),"",F94-E94)</f>
        <v/>
      </c>
      <c r="H94" s="6">
        <f>IFERROR(G94/E94,"")</f>
        <v/>
      </c>
      <c r="I94" s="44" t="inlineStr">
        <is>
          <t>DOĞRU</t>
        </is>
      </c>
      <c r="J94" s="45" t="inlineStr">
        <is>
          <t>https://altin.doviz.com/gram-altin</t>
        </is>
      </c>
      <c r="K94" s="5" t="n">
        <v>31.01</v>
      </c>
      <c r="L94" s="6" t="n">
        <v>0.0044</v>
      </c>
      <c r="M94" s="46" t="inlineStr"/>
      <c r="N94" s="47" t="n">
        <v>0.5575578703703704</v>
      </c>
    </row>
    <row r="95">
      <c r="A95" s="2" t="n">
        <v>46262</v>
      </c>
      <c r="B95" s="3" t="n">
        <v>0.5665625</v>
      </c>
      <c r="C95" s="13" t="inlineStr">
        <is>
          <t>DestekBank</t>
        </is>
      </c>
      <c r="D95" t="inlineStr">
        <is>
          <t>GRAM_ALTIN</t>
        </is>
      </c>
      <c r="E95" s="5" t="n">
        <v>7071.54</v>
      </c>
      <c r="F95" s="5" t="n">
        <v>7102.56</v>
      </c>
      <c r="G95" s="5">
        <f>IF(OR(E95="",F95=""),"",F95-E95)</f>
        <v/>
      </c>
      <c r="H95" s="6">
        <f>IFERROR(G95/E95,"")</f>
        <v/>
      </c>
      <c r="I95" s="44" t="inlineStr">
        <is>
          <t>DOĞRU</t>
        </is>
      </c>
      <c r="J95" s="45" t="inlineStr">
        <is>
          <t>https://altin.doviz.com/gram-altin</t>
        </is>
      </c>
      <c r="K95" s="5" t="n">
        <v>31.02</v>
      </c>
      <c r="L95" s="6" t="n">
        <v>0.0044</v>
      </c>
      <c r="M95" s="46" t="inlineStr"/>
      <c r="N95" s="47" t="n">
        <v>0.5670601851851852</v>
      </c>
    </row>
    <row r="96">
      <c r="A96" s="2" t="n">
        <v>46262</v>
      </c>
      <c r="B96" s="3" t="n">
        <v>0.6021875</v>
      </c>
      <c r="C96" s="13" t="inlineStr">
        <is>
          <t>DestekBank</t>
        </is>
      </c>
      <c r="D96" t="inlineStr">
        <is>
          <t>GRAM_ALTIN</t>
        </is>
      </c>
      <c r="E96" s="5" t="n">
        <v>7060.55</v>
      </c>
      <c r="F96" s="5" t="n">
        <v>7091.56</v>
      </c>
      <c r="G96" s="5">
        <f>IF(OR(E96="",F96=""),"",F96-E96)</f>
        <v/>
      </c>
      <c r="H96" s="6">
        <f>IFERROR(G96/E96,"")</f>
        <v/>
      </c>
      <c r="I96" s="44" t="inlineStr">
        <is>
          <t>DOĞRU</t>
        </is>
      </c>
      <c r="J96" s="45" t="inlineStr">
        <is>
          <t>https://altin.doviz.com/gram-altin</t>
        </is>
      </c>
      <c r="K96" s="5" t="n">
        <v>31.01</v>
      </c>
      <c r="L96" s="6" t="n">
        <v>0.0044</v>
      </c>
      <c r="M96" s="46" t="inlineStr"/>
      <c r="N96" s="47" t="n">
        <v>0.6026388888888888</v>
      </c>
    </row>
    <row r="97">
      <c r="A97" s="2" t="n">
        <v>46262</v>
      </c>
      <c r="B97" s="3" t="n">
        <v>0.6194560185185185</v>
      </c>
      <c r="C97" s="13" t="inlineStr">
        <is>
          <t>DestekBank</t>
        </is>
      </c>
      <c r="D97" t="inlineStr">
        <is>
          <t>GRAM_ALTIN</t>
        </is>
      </c>
      <c r="E97" s="5" t="n">
        <v>7052.89</v>
      </c>
      <c r="F97" s="5" t="n">
        <v>7083.93</v>
      </c>
      <c r="G97" s="5">
        <f>IF(OR(E97="",F97=""),"",F97-E97)</f>
        <v/>
      </c>
      <c r="H97" s="6">
        <f>IFERROR(G97/E97,"")</f>
        <v/>
      </c>
      <c r="I97" s="44" t="inlineStr">
        <is>
          <t>DOĞRU</t>
        </is>
      </c>
      <c r="J97" s="45" t="inlineStr">
        <is>
          <t>https://altin.doviz.com/gram-altin</t>
        </is>
      </c>
      <c r="K97" s="5" t="n">
        <v>31.04</v>
      </c>
      <c r="L97" s="6" t="n">
        <v>0.0044</v>
      </c>
      <c r="M97" s="46" t="inlineStr"/>
      <c r="N97" s="47" t="n">
        <v>0.619849537037037</v>
      </c>
    </row>
    <row r="98">
      <c r="A98" s="2" t="n">
        <v>46262</v>
      </c>
      <c r="B98" s="3" t="n">
        <v>0.5570949074074074</v>
      </c>
      <c r="C98" s="14" t="inlineStr">
        <is>
          <t>Dünya Katılım</t>
        </is>
      </c>
      <c r="D98" t="inlineStr">
        <is>
          <t>DOLAR</t>
        </is>
      </c>
      <c r="E98" s="5" t="n">
        <v>48.0984</v>
      </c>
      <c r="F98" s="5" t="n">
        <v>48.1369</v>
      </c>
      <c r="G98" s="5">
        <f>IF(OR(E98="",F98=""),"",F98-E98)</f>
        <v/>
      </c>
      <c r="H98" s="6">
        <f>IFERROR(G98/E98,"")</f>
        <v/>
      </c>
      <c r="I98" s="44" t="inlineStr">
        <is>
          <t>DOĞRU</t>
        </is>
      </c>
      <c r="J98" s="45" t="inlineStr">
        <is>
          <t>https://kur.doviz.com/serbest-piyasa/amerikan-dolari</t>
        </is>
      </c>
      <c r="K98" s="5" t="n">
        <v>0.0385</v>
      </c>
      <c r="L98" s="6" t="n">
        <v>0.0008</v>
      </c>
      <c r="M98" s="46" t="inlineStr"/>
      <c r="N98" s="47" t="n">
        <v>0.5572569444444444</v>
      </c>
    </row>
    <row r="99">
      <c r="A99" s="2" t="n">
        <v>46262</v>
      </c>
      <c r="B99" s="3" t="n">
        <v>0.5665625</v>
      </c>
      <c r="C99" s="14" t="inlineStr">
        <is>
          <t>Dünya Katılım</t>
        </is>
      </c>
      <c r="D99" t="inlineStr">
        <is>
          <t>DOLAR</t>
        </is>
      </c>
      <c r="E99" s="5" t="n">
        <v>48.0978</v>
      </c>
      <c r="F99" s="5" t="n">
        <v>48.1371</v>
      </c>
      <c r="G99" s="5">
        <f>IF(OR(E99="",F99=""),"",F99-E99)</f>
        <v/>
      </c>
      <c r="H99" s="6">
        <f>IFERROR(G99/E99,"")</f>
        <v/>
      </c>
      <c r="I99" s="44" t="inlineStr">
        <is>
          <t>DOĞRU</t>
        </is>
      </c>
      <c r="J99" s="45" t="inlineStr">
        <is>
          <t>https://kur.doviz.com/serbest-piyasa/amerikan-dolari</t>
        </is>
      </c>
      <c r="K99" s="5" t="n">
        <v>0.0393</v>
      </c>
      <c r="L99" s="6" t="n">
        <v>0.0008</v>
      </c>
      <c r="M99" s="46" t="inlineStr"/>
      <c r="N99" s="47" t="n">
        <v>0.5667592592592593</v>
      </c>
    </row>
    <row r="100">
      <c r="A100" s="2" t="n">
        <v>46262</v>
      </c>
      <c r="B100" s="3" t="n">
        <v>0.6021875</v>
      </c>
      <c r="C100" s="14" t="inlineStr">
        <is>
          <t>Dünya Katılım</t>
        </is>
      </c>
      <c r="D100" t="inlineStr">
        <is>
          <t>DOLAR</t>
        </is>
      </c>
      <c r="E100" s="5" t="n">
        <v>48.0978</v>
      </c>
      <c r="F100" s="5" t="n">
        <v>48.137</v>
      </c>
      <c r="G100" s="5">
        <f>IF(OR(E100="",F100=""),"",F100-E100)</f>
        <v/>
      </c>
      <c r="H100" s="6">
        <f>IFERROR(G100/E100,"")</f>
        <v/>
      </c>
      <c r="I100" s="44" t="inlineStr">
        <is>
          <t>DOĞRU</t>
        </is>
      </c>
      <c r="J100" s="45" t="inlineStr">
        <is>
          <t>https://kur.doviz.com/serbest-piyasa/amerikan-dolari</t>
        </is>
      </c>
      <c r="K100" s="5" t="n">
        <v>0.0392</v>
      </c>
      <c r="L100" s="6" t="n">
        <v>0.0008</v>
      </c>
      <c r="M100" s="46" t="inlineStr"/>
      <c r="N100" s="47" t="n">
        <v>0.6023379629629629</v>
      </c>
    </row>
    <row r="101">
      <c r="A101" s="2" t="n">
        <v>46262</v>
      </c>
      <c r="B101" s="3" t="n">
        <v>0.6194560185185185</v>
      </c>
      <c r="C101" s="14" t="inlineStr">
        <is>
          <t>Dünya Katılım</t>
        </is>
      </c>
      <c r="D101" t="inlineStr">
        <is>
          <t>DOLAR</t>
        </is>
      </c>
      <c r="E101" s="5" t="n">
        <v>48.098</v>
      </c>
      <c r="F101" s="5" t="n">
        <v>48.1369</v>
      </c>
      <c r="G101" s="5">
        <f>IF(OR(E101="",F101=""),"",F101-E101)</f>
        <v/>
      </c>
      <c r="H101" s="6">
        <f>IFERROR(G101/E101,"")</f>
        <v/>
      </c>
      <c r="I101" s="44" t="inlineStr">
        <is>
          <t>DOĞRU</t>
        </is>
      </c>
      <c r="J101" s="45" t="inlineStr">
        <is>
          <t>https://kur.doviz.com/serbest-piyasa/amerikan-dolari</t>
        </is>
      </c>
      <c r="K101" s="5" t="n">
        <v>0.0389</v>
      </c>
      <c r="L101" s="6" t="n">
        <v>0.0008</v>
      </c>
      <c r="M101" s="46" t="inlineStr"/>
      <c r="N101" s="47" t="n">
        <v>0.6196180555555556</v>
      </c>
    </row>
    <row r="102">
      <c r="A102" s="2" t="n">
        <v>46262</v>
      </c>
      <c r="B102" s="3" t="n">
        <v>0.5570949074074074</v>
      </c>
      <c r="C102" s="14" t="inlineStr">
        <is>
          <t>Dünya Katılım</t>
        </is>
      </c>
      <c r="D102" t="inlineStr">
        <is>
          <t>EURO</t>
        </is>
      </c>
      <c r="E102" s="5" t="n">
        <v>55.9328</v>
      </c>
      <c r="F102" s="5" t="n">
        <v>56.0473</v>
      </c>
      <c r="G102" s="5">
        <f>IF(OR(E102="",F102=""),"",F102-E102)</f>
        <v/>
      </c>
      <c r="H102" s="6">
        <f>IFERROR(G102/E102,"")</f>
        <v/>
      </c>
      <c r="I102" s="44" t="inlineStr">
        <is>
          <t>DOĞRU</t>
        </is>
      </c>
      <c r="J102" s="45" t="inlineStr">
        <is>
          <t>https://kur.doviz.com/serbest-piyasa/euro</t>
        </is>
      </c>
      <c r="K102" s="5" t="n">
        <v>0.1146</v>
      </c>
      <c r="L102" s="6" t="n">
        <v>0.002</v>
      </c>
      <c r="M102" s="46" t="inlineStr"/>
      <c r="N102" s="47" t="n">
        <v>0.5574074074074075</v>
      </c>
    </row>
    <row r="103">
      <c r="A103" s="2" t="n">
        <v>46262</v>
      </c>
      <c r="B103" s="3" t="n">
        <v>0.5665625</v>
      </c>
      <c r="C103" s="14" t="inlineStr">
        <is>
          <t>Dünya Katılım</t>
        </is>
      </c>
      <c r="D103" t="inlineStr">
        <is>
          <t>EURO</t>
        </is>
      </c>
      <c r="E103" s="5" t="n">
        <v>55.9561</v>
      </c>
      <c r="F103" s="5" t="n">
        <v>56.0716</v>
      </c>
      <c r="G103" s="5">
        <f>IF(OR(E103="",F103=""),"",F103-E103)</f>
        <v/>
      </c>
      <c r="H103" s="6">
        <f>IFERROR(G103/E103,"")</f>
        <v/>
      </c>
      <c r="I103" s="44" t="inlineStr">
        <is>
          <t>DOĞRU</t>
        </is>
      </c>
      <c r="J103" s="45" t="inlineStr">
        <is>
          <t>https://kur.doviz.com/serbest-piyasa/euro</t>
        </is>
      </c>
      <c r="K103" s="5" t="n">
        <v>0.1155</v>
      </c>
      <c r="L103" s="6" t="n">
        <v>0.0021</v>
      </c>
      <c r="M103" s="46" t="inlineStr"/>
      <c r="N103" s="47" t="n">
        <v>0.5669097222222222</v>
      </c>
    </row>
    <row r="104">
      <c r="A104" s="2" t="n">
        <v>46262</v>
      </c>
      <c r="B104" s="3" t="n">
        <v>0.6021875</v>
      </c>
      <c r="C104" s="14" t="inlineStr">
        <is>
          <t>Dünya Katılım</t>
        </is>
      </c>
      <c r="D104" t="inlineStr">
        <is>
          <t>EURO</t>
        </is>
      </c>
      <c r="E104" s="5" t="n">
        <v>55.9707</v>
      </c>
      <c r="F104" s="5" t="n">
        <v>56.0812</v>
      </c>
      <c r="G104" s="5">
        <f>IF(OR(E104="",F104=""),"",F104-E104)</f>
        <v/>
      </c>
      <c r="H104" s="6">
        <f>IFERROR(G104/E104,"")</f>
        <v/>
      </c>
      <c r="I104" s="44" t="inlineStr">
        <is>
          <t>DOĞRU</t>
        </is>
      </c>
      <c r="J104" s="45" t="inlineStr">
        <is>
          <t>https://kur.doviz.com/serbest-piyasa/euro</t>
        </is>
      </c>
      <c r="K104" s="5" t="n">
        <v>0.1104</v>
      </c>
      <c r="L104" s="6" t="n">
        <v>0.002</v>
      </c>
      <c r="M104" s="46" t="inlineStr"/>
      <c r="N104" s="47" t="n">
        <v>0.6024884259259259</v>
      </c>
    </row>
    <row r="105">
      <c r="A105" s="2" t="n">
        <v>46262</v>
      </c>
      <c r="B105" s="3" t="n">
        <v>0.6194560185185185</v>
      </c>
      <c r="C105" s="14" t="inlineStr">
        <is>
          <t>Dünya Katılım</t>
        </is>
      </c>
      <c r="D105" t="inlineStr">
        <is>
          <t>EURO</t>
        </is>
      </c>
      <c r="E105" s="5" t="n">
        <v>55.9563</v>
      </c>
      <c r="F105" s="5" t="n">
        <v>56.0667</v>
      </c>
      <c r="G105" s="5">
        <f>IF(OR(E105="",F105=""),"",F105-E105)</f>
        <v/>
      </c>
      <c r="H105" s="6">
        <f>IFERROR(G105/E105,"")</f>
        <v/>
      </c>
      <c r="I105" s="44" t="inlineStr">
        <is>
          <t>DOĞRU</t>
        </is>
      </c>
      <c r="J105" s="45" t="inlineStr">
        <is>
          <t>https://kur.doviz.com/serbest-piyasa/euro</t>
        </is>
      </c>
      <c r="K105" s="5" t="n">
        <v>0.11</v>
      </c>
      <c r="L105" s="6" t="n">
        <v>0.0021</v>
      </c>
      <c r="M105" s="46" t="inlineStr"/>
      <c r="N105" s="47" t="n">
        <v>0.6196990740740741</v>
      </c>
    </row>
    <row r="106">
      <c r="A106" s="2" t="n">
        <v>46262</v>
      </c>
      <c r="B106" s="3" t="n">
        <v>0.5570949074074074</v>
      </c>
      <c r="C106" s="14" t="inlineStr">
        <is>
          <t>Dünya Katılım</t>
        </is>
      </c>
      <c r="D106" t="inlineStr">
        <is>
          <t>GRAM_ALTIN</t>
        </is>
      </c>
      <c r="E106" s="5" t="n">
        <v>7068.4</v>
      </c>
      <c r="F106" s="5" t="n">
        <v>7102.54</v>
      </c>
      <c r="G106" s="5">
        <f>IF(OR(E106="",F106=""),"",F106-E106)</f>
        <v/>
      </c>
      <c r="H106" s="6">
        <f>IFERROR(G106/E106,"")</f>
        <v/>
      </c>
      <c r="I106" s="44" t="inlineStr">
        <is>
          <t>DOĞRU</t>
        </is>
      </c>
      <c r="J106" s="45" t="inlineStr">
        <is>
          <t>https://altin.doviz.com/gram-altin</t>
        </is>
      </c>
      <c r="K106" s="5" t="n">
        <v>34.15</v>
      </c>
      <c r="L106" s="6" t="n">
        <v>0.0048</v>
      </c>
      <c r="M106" s="46" t="inlineStr"/>
      <c r="N106" s="47" t="n">
        <v>0.5575578703703704</v>
      </c>
    </row>
    <row r="107">
      <c r="A107" s="2" t="n">
        <v>46262</v>
      </c>
      <c r="B107" s="3" t="n">
        <v>0.5665625</v>
      </c>
      <c r="C107" s="14" t="inlineStr">
        <is>
          <t>Dünya Katılım</t>
        </is>
      </c>
      <c r="D107" t="inlineStr">
        <is>
          <t>GRAM_ALTIN</t>
        </is>
      </c>
      <c r="E107" s="5" t="n">
        <v>7072.86</v>
      </c>
      <c r="F107" s="5" t="n">
        <v>7107.09</v>
      </c>
      <c r="G107" s="5">
        <f>IF(OR(E107="",F107=""),"",F107-E107)</f>
        <v/>
      </c>
      <c r="H107" s="6">
        <f>IFERROR(G107/E107,"")</f>
        <v/>
      </c>
      <c r="I107" s="44" t="inlineStr">
        <is>
          <t>DOĞRU</t>
        </is>
      </c>
      <c r="J107" s="45" t="inlineStr">
        <is>
          <t>https://altin.doviz.com/gram-altin</t>
        </is>
      </c>
      <c r="K107" s="5" t="n">
        <v>34.24</v>
      </c>
      <c r="L107" s="6" t="n">
        <v>0.0048</v>
      </c>
      <c r="M107" s="46" t="inlineStr"/>
      <c r="N107" s="47" t="n">
        <v>0.5670601851851852</v>
      </c>
    </row>
    <row r="108">
      <c r="A108" s="2" t="n">
        <v>46262</v>
      </c>
      <c r="B108" s="3" t="n">
        <v>0.6021875</v>
      </c>
      <c r="C108" s="14" t="inlineStr">
        <is>
          <t>Dünya Katılım</t>
        </is>
      </c>
      <c r="D108" t="inlineStr">
        <is>
          <t>GRAM_ALTIN</t>
        </is>
      </c>
      <c r="E108" s="5" t="n">
        <v>7061.89</v>
      </c>
      <c r="F108" s="5" t="n">
        <v>7095.99</v>
      </c>
      <c r="G108" s="5">
        <f>IF(OR(E108="",F108=""),"",F108-E108)</f>
        <v/>
      </c>
      <c r="H108" s="6">
        <f>IFERROR(G108/E108,"")</f>
        <v/>
      </c>
      <c r="I108" s="44" t="inlineStr">
        <is>
          <t>DOĞRU</t>
        </is>
      </c>
      <c r="J108" s="45" t="inlineStr">
        <is>
          <t>https://altin.doviz.com/gram-altin</t>
        </is>
      </c>
      <c r="K108" s="5" t="n">
        <v>34.1</v>
      </c>
      <c r="L108" s="6" t="n">
        <v>0.0048</v>
      </c>
      <c r="M108" s="46" t="inlineStr"/>
      <c r="N108" s="47" t="n">
        <v>0.6026388888888888</v>
      </c>
    </row>
    <row r="109">
      <c r="A109" s="2" t="n">
        <v>46262</v>
      </c>
      <c r="B109" s="3" t="n">
        <v>0.6194560185185185</v>
      </c>
      <c r="C109" s="14" t="inlineStr">
        <is>
          <t>Dünya Katılım</t>
        </is>
      </c>
      <c r="D109" t="inlineStr">
        <is>
          <t>GRAM_ALTIN</t>
        </is>
      </c>
      <c r="E109" s="5" t="n">
        <v>7054.04</v>
      </c>
      <c r="F109" s="5" t="n">
        <v>7088.11</v>
      </c>
      <c r="G109" s="5">
        <f>IF(OR(E109="",F109=""),"",F109-E109)</f>
        <v/>
      </c>
      <c r="H109" s="6">
        <f>IFERROR(G109/E109,"")</f>
        <v/>
      </c>
      <c r="I109" s="44" t="inlineStr">
        <is>
          <t>DOĞRU</t>
        </is>
      </c>
      <c r="J109" s="45" t="inlineStr">
        <is>
          <t>https://altin.doviz.com/gram-altin</t>
        </is>
      </c>
      <c r="K109" s="5" t="n">
        <v>34.06</v>
      </c>
      <c r="L109" s="6" t="n">
        <v>0.0048</v>
      </c>
      <c r="M109" s="46" t="inlineStr"/>
      <c r="N109" s="47" t="n">
        <v>0.619849537037037</v>
      </c>
    </row>
    <row r="110">
      <c r="A110" s="2" t="n">
        <v>46262</v>
      </c>
      <c r="B110" s="3" t="n">
        <v>0.5570949074074074</v>
      </c>
      <c r="C110" s="15" t="inlineStr">
        <is>
          <t>Emlak Katılım</t>
        </is>
      </c>
      <c r="D110" t="inlineStr">
        <is>
          <t>DOLAR</t>
        </is>
      </c>
      <c r="E110" s="5" t="n">
        <v>47.7827</v>
      </c>
      <c r="F110" s="5" t="n">
        <v>49.0179</v>
      </c>
      <c r="G110" s="5">
        <f>IF(OR(E110="",F110=""),"",F110-E110)</f>
        <v/>
      </c>
      <c r="H110" s="6">
        <f>IFERROR(G110/E110,"")</f>
        <v/>
      </c>
      <c r="I110" s="44" t="inlineStr">
        <is>
          <t>DOĞRU</t>
        </is>
      </c>
      <c r="J110" s="45" t="inlineStr">
        <is>
          <t>https://kur.doviz.com/serbest-piyasa/amerikan-dolari</t>
        </is>
      </c>
      <c r="K110" s="5" t="n">
        <v>1.2352</v>
      </c>
      <c r="L110" s="6" t="n">
        <v>0.0258</v>
      </c>
      <c r="M110" s="46" t="inlineStr"/>
      <c r="N110" s="47" t="n">
        <v>0.5572569444444444</v>
      </c>
    </row>
    <row r="111">
      <c r="A111" s="2" t="n">
        <v>46262</v>
      </c>
      <c r="B111" s="3" t="n">
        <v>0.5665625</v>
      </c>
      <c r="C111" s="15" t="inlineStr">
        <is>
          <t>Emlak Katılım</t>
        </is>
      </c>
      <c r="D111" t="inlineStr">
        <is>
          <t>DOLAR</t>
        </is>
      </c>
      <c r="E111" s="5" t="n">
        <v>47.7827</v>
      </c>
      <c r="F111" s="5" t="n">
        <v>49.018</v>
      </c>
      <c r="G111" s="5">
        <f>IF(OR(E111="",F111=""),"",F111-E111)</f>
        <v/>
      </c>
      <c r="H111" s="6">
        <f>IFERROR(G111/E111,"")</f>
        <v/>
      </c>
      <c r="I111" s="44" t="inlineStr">
        <is>
          <t>DOĞRU</t>
        </is>
      </c>
      <c r="J111" s="45" t="inlineStr">
        <is>
          <t>https://kur.doviz.com/serbest-piyasa/amerikan-dolari</t>
        </is>
      </c>
      <c r="K111" s="5" t="n">
        <v>1.2353</v>
      </c>
      <c r="L111" s="6" t="n">
        <v>0.0259</v>
      </c>
      <c r="M111" s="46" t="inlineStr"/>
      <c r="N111" s="47" t="n">
        <v>0.5667592592592593</v>
      </c>
    </row>
    <row r="112">
      <c r="A112" s="2" t="n">
        <v>46262</v>
      </c>
      <c r="B112" s="3" t="n">
        <v>0.6021875</v>
      </c>
      <c r="C112" s="15" t="inlineStr">
        <is>
          <t>Emlak Katılım</t>
        </is>
      </c>
      <c r="D112" t="inlineStr">
        <is>
          <t>DOLAR</t>
        </is>
      </c>
      <c r="E112" s="5" t="n">
        <v>47.7826</v>
      </c>
      <c r="F112" s="5" t="n">
        <v>49.018</v>
      </c>
      <c r="G112" s="5">
        <f>IF(OR(E112="",F112=""),"",F112-E112)</f>
        <v/>
      </c>
      <c r="H112" s="6">
        <f>IFERROR(G112/E112,"")</f>
        <v/>
      </c>
      <c r="I112" s="44" t="inlineStr">
        <is>
          <t>DOĞRU</t>
        </is>
      </c>
      <c r="J112" s="45" t="inlineStr">
        <is>
          <t>https://kur.doviz.com/serbest-piyasa/amerikan-dolari</t>
        </is>
      </c>
      <c r="K112" s="5" t="n">
        <v>1.2354</v>
      </c>
      <c r="L112" s="6" t="n">
        <v>0.0259</v>
      </c>
      <c r="M112" s="46" t="inlineStr"/>
      <c r="N112" s="47" t="n">
        <v>0.6023379629629629</v>
      </c>
    </row>
    <row r="113">
      <c r="A113" s="2" t="n">
        <v>46262</v>
      </c>
      <c r="B113" s="3" t="n">
        <v>0.6194560185185185</v>
      </c>
      <c r="C113" s="15" t="inlineStr">
        <is>
          <t>Emlak Katılım</t>
        </is>
      </c>
      <c r="D113" t="inlineStr">
        <is>
          <t>DOLAR</t>
        </is>
      </c>
      <c r="E113" s="5" t="n">
        <v>47.7825</v>
      </c>
      <c r="F113" s="5" t="n">
        <v>49.0178</v>
      </c>
      <c r="G113" s="5">
        <f>IF(OR(E113="",F113=""),"",F113-E113)</f>
        <v/>
      </c>
      <c r="H113" s="6">
        <f>IFERROR(G113/E113,"")</f>
        <v/>
      </c>
      <c r="I113" s="44" t="inlineStr">
        <is>
          <t>DOĞRU</t>
        </is>
      </c>
      <c r="J113" s="45" t="inlineStr">
        <is>
          <t>https://kur.doviz.com/serbest-piyasa/amerikan-dolari</t>
        </is>
      </c>
      <c r="K113" s="5" t="n">
        <v>1.2353</v>
      </c>
      <c r="L113" s="6" t="n">
        <v>0.0259</v>
      </c>
      <c r="M113" s="46" t="inlineStr"/>
      <c r="N113" s="47" t="n">
        <v>0.6196180555555556</v>
      </c>
    </row>
    <row r="114">
      <c r="A114" s="2" t="n">
        <v>46262</v>
      </c>
      <c r="B114" s="3" t="n">
        <v>0.5570949074074074</v>
      </c>
      <c r="C114" s="15" t="inlineStr">
        <is>
          <t>Emlak Katılım</t>
        </is>
      </c>
      <c r="D114" t="inlineStr">
        <is>
          <t>EURO</t>
        </is>
      </c>
      <c r="E114" s="5" t="n">
        <v>55.5196</v>
      </c>
      <c r="F114" s="5" t="n">
        <v>56.7975</v>
      </c>
      <c r="G114" s="5">
        <f>IF(OR(E114="",F114=""),"",F114-E114)</f>
        <v/>
      </c>
      <c r="H114" s="6">
        <f>IFERROR(G114/E114,"")</f>
        <v/>
      </c>
      <c r="I114" s="44" t="inlineStr">
        <is>
          <t>DOĞRU</t>
        </is>
      </c>
      <c r="J114" s="45" t="inlineStr">
        <is>
          <t>https://kur.doviz.com/serbest-piyasa/euro</t>
        </is>
      </c>
      <c r="K114" s="5" t="n">
        <v>1.2779</v>
      </c>
      <c r="L114" s="6" t="n">
        <v>0.023</v>
      </c>
      <c r="M114" s="46" t="inlineStr"/>
      <c r="N114" s="47" t="n">
        <v>0.5574074074074075</v>
      </c>
    </row>
    <row r="115">
      <c r="A115" s="2" t="n">
        <v>46262</v>
      </c>
      <c r="B115" s="3" t="n">
        <v>0.5665625</v>
      </c>
      <c r="C115" s="15" t="inlineStr">
        <is>
          <t>Emlak Katılım</t>
        </is>
      </c>
      <c r="D115" t="inlineStr">
        <is>
          <t>EURO</t>
        </is>
      </c>
      <c r="E115" s="5" t="n">
        <v>55.5387</v>
      </c>
      <c r="F115" s="5" t="n">
        <v>56.8171</v>
      </c>
      <c r="G115" s="5">
        <f>IF(OR(E115="",F115=""),"",F115-E115)</f>
        <v/>
      </c>
      <c r="H115" s="6">
        <f>IFERROR(G115/E115,"")</f>
        <v/>
      </c>
      <c r="I115" s="44" t="inlineStr">
        <is>
          <t>DOĞRU</t>
        </is>
      </c>
      <c r="J115" s="45" t="inlineStr">
        <is>
          <t>https://kur.doviz.com/serbest-piyasa/euro</t>
        </is>
      </c>
      <c r="K115" s="5" t="n">
        <v>1.2784</v>
      </c>
      <c r="L115" s="6" t="n">
        <v>0.023</v>
      </c>
      <c r="M115" s="46" t="inlineStr"/>
      <c r="N115" s="47" t="n">
        <v>0.5669097222222222</v>
      </c>
    </row>
    <row r="116">
      <c r="A116" s="2" t="n">
        <v>46262</v>
      </c>
      <c r="B116" s="3" t="n">
        <v>0.6021875</v>
      </c>
      <c r="C116" s="15" t="inlineStr">
        <is>
          <t>Emlak Katılım</t>
        </is>
      </c>
      <c r="D116" t="inlineStr">
        <is>
          <t>EURO</t>
        </is>
      </c>
      <c r="E116" s="5" t="n">
        <v>55.5482</v>
      </c>
      <c r="F116" s="5" t="n">
        <v>56.8269</v>
      </c>
      <c r="G116" s="5">
        <f>IF(OR(E116="",F116=""),"",F116-E116)</f>
        <v/>
      </c>
      <c r="H116" s="6">
        <f>IFERROR(G116/E116,"")</f>
        <v/>
      </c>
      <c r="I116" s="44" t="inlineStr">
        <is>
          <t>DOĞRU</t>
        </is>
      </c>
      <c r="J116" s="45" t="inlineStr">
        <is>
          <t>https://kur.doviz.com/serbest-piyasa/euro</t>
        </is>
      </c>
      <c r="K116" s="5" t="n">
        <v>1.2787</v>
      </c>
      <c r="L116" s="6" t="n">
        <v>0.023</v>
      </c>
      <c r="M116" s="46" t="inlineStr"/>
      <c r="N116" s="47" t="n">
        <v>0.6024884259259259</v>
      </c>
    </row>
    <row r="117">
      <c r="A117" s="2" t="n">
        <v>46262</v>
      </c>
      <c r="B117" s="3" t="n">
        <v>0.6194560185185185</v>
      </c>
      <c r="C117" s="15" t="inlineStr">
        <is>
          <t>Emlak Katılım</t>
        </is>
      </c>
      <c r="D117" t="inlineStr">
        <is>
          <t>EURO</t>
        </is>
      </c>
      <c r="E117" s="5" t="n">
        <v>55.5481</v>
      </c>
      <c r="F117" s="5" t="n">
        <v>56.8267</v>
      </c>
      <c r="G117" s="5">
        <f>IF(OR(E117="",F117=""),"",F117-E117)</f>
        <v/>
      </c>
      <c r="H117" s="6">
        <f>IFERROR(G117/E117,"")</f>
        <v/>
      </c>
      <c r="I117" s="44" t="inlineStr">
        <is>
          <t>DOĞRU</t>
        </is>
      </c>
      <c r="J117" s="45" t="inlineStr">
        <is>
          <t>https://kur.doviz.com/serbest-piyasa/euro</t>
        </is>
      </c>
      <c r="K117" s="5" t="n">
        <v>1.28</v>
      </c>
      <c r="L117" s="6" t="n">
        <v>0.023</v>
      </c>
      <c r="M117" s="46" t="inlineStr"/>
      <c r="N117" s="47" t="n">
        <v>0.6196990740740741</v>
      </c>
    </row>
    <row r="118">
      <c r="A118" s="2" t="n">
        <v>46262</v>
      </c>
      <c r="B118" s="3" t="n">
        <v>0.5570949074074074</v>
      </c>
      <c r="C118" s="15" t="inlineStr">
        <is>
          <t>Emlak Katılım</t>
        </is>
      </c>
      <c r="D118" t="inlineStr">
        <is>
          <t>GRAM_ALTIN</t>
        </is>
      </c>
      <c r="E118" s="5" t="n">
        <v>7039.49</v>
      </c>
      <c r="F118" s="5" t="n">
        <v>7154.33</v>
      </c>
      <c r="G118" s="5">
        <f>IF(OR(E118="",F118=""),"",F118-E118)</f>
        <v/>
      </c>
      <c r="H118" s="6">
        <f>IFERROR(G118/E118,"")</f>
        <v/>
      </c>
      <c r="I118" s="44" t="inlineStr">
        <is>
          <t>DOĞRU</t>
        </is>
      </c>
      <c r="J118" s="45" t="inlineStr">
        <is>
          <t>https://altin.doviz.com/gram-altin</t>
        </is>
      </c>
      <c r="K118" s="5" t="n">
        <v>114.84</v>
      </c>
      <c r="L118" s="6" t="n">
        <v>0.0163</v>
      </c>
      <c r="M118" s="46" t="inlineStr"/>
      <c r="N118" s="47" t="n">
        <v>0.5575578703703704</v>
      </c>
    </row>
    <row r="119">
      <c r="A119" s="2" t="n">
        <v>46262</v>
      </c>
      <c r="B119" s="3" t="n">
        <v>0.5665625</v>
      </c>
      <c r="C119" s="15" t="inlineStr">
        <is>
          <t>Emlak Katılım</t>
        </is>
      </c>
      <c r="D119" t="inlineStr">
        <is>
          <t>GRAM_ALTIN</t>
        </is>
      </c>
      <c r="E119" s="5" t="n">
        <v>7038.55</v>
      </c>
      <c r="F119" s="5" t="n">
        <v>7153.42</v>
      </c>
      <c r="G119" s="5">
        <f>IF(OR(E119="",F119=""),"",F119-E119)</f>
        <v/>
      </c>
      <c r="H119" s="6">
        <f>IFERROR(G119/E119,"")</f>
        <v/>
      </c>
      <c r="I119" s="44" t="inlineStr">
        <is>
          <t>DOĞRU</t>
        </is>
      </c>
      <c r="J119" s="45" t="inlineStr">
        <is>
          <t>https://altin.doviz.com/gram-altin</t>
        </is>
      </c>
      <c r="K119" s="5" t="n">
        <v>114.87</v>
      </c>
      <c r="L119" s="6" t="n">
        <v>0.0163</v>
      </c>
      <c r="M119" s="46" t="inlineStr"/>
      <c r="N119" s="47" t="n">
        <v>0.5670601851851852</v>
      </c>
    </row>
    <row r="120">
      <c r="A120" s="2" t="n">
        <v>46262</v>
      </c>
      <c r="B120" s="3" t="n">
        <v>0.6021875</v>
      </c>
      <c r="C120" s="15" t="inlineStr">
        <is>
          <t>Emlak Katılım</t>
        </is>
      </c>
      <c r="D120" t="inlineStr">
        <is>
          <t>GRAM_ALTIN</t>
        </is>
      </c>
      <c r="E120" s="5" t="n">
        <v>7025.78</v>
      </c>
      <c r="F120" s="5" t="n">
        <v>7141.19</v>
      </c>
      <c r="G120" s="5">
        <f>IF(OR(E120="",F120=""),"",F120-E120)</f>
        <v/>
      </c>
      <c r="H120" s="6">
        <f>IFERROR(G120/E120,"")</f>
        <v/>
      </c>
      <c r="I120" s="44" t="inlineStr">
        <is>
          <t>DOĞRU</t>
        </is>
      </c>
      <c r="J120" s="45" t="inlineStr">
        <is>
          <t>https://altin.doviz.com/gram-altin</t>
        </is>
      </c>
      <c r="K120" s="5" t="n">
        <v>115.41</v>
      </c>
      <c r="L120" s="6" t="n">
        <v>0.0164</v>
      </c>
      <c r="M120" s="46" t="inlineStr"/>
      <c r="N120" s="47" t="n">
        <v>0.6026388888888888</v>
      </c>
    </row>
    <row r="121">
      <c r="A121" s="2" t="n">
        <v>46262</v>
      </c>
      <c r="B121" s="3" t="n">
        <v>0.6194560185185185</v>
      </c>
      <c r="C121" s="15" t="inlineStr">
        <is>
          <t>Emlak Katılım</t>
        </is>
      </c>
      <c r="D121" t="inlineStr">
        <is>
          <t>GRAM_ALTIN</t>
        </is>
      </c>
      <c r="E121" s="5" t="n">
        <v>7019.53</v>
      </c>
      <c r="F121" s="5" t="n">
        <v>7134.22</v>
      </c>
      <c r="G121" s="5">
        <f>IF(OR(E121="",F121=""),"",F121-E121)</f>
        <v/>
      </c>
      <c r="H121" s="6">
        <f>IFERROR(G121/E121,"")</f>
        <v/>
      </c>
      <c r="I121" s="44" t="inlineStr">
        <is>
          <t>DOĞRU</t>
        </is>
      </c>
      <c r="J121" s="45" t="inlineStr">
        <is>
          <t>https://altin.doviz.com/gram-altin</t>
        </is>
      </c>
      <c r="K121" s="5" t="n">
        <v>114.69</v>
      </c>
      <c r="L121" s="6" t="n">
        <v>0.0163</v>
      </c>
      <c r="M121" s="46" t="inlineStr"/>
      <c r="N121" s="47" t="n">
        <v>0.619849537037037</v>
      </c>
    </row>
    <row r="122">
      <c r="A122" s="2" t="n">
        <v>46262</v>
      </c>
      <c r="B122" s="3" t="n">
        <v>0.5570949074074074</v>
      </c>
      <c r="C122" s="16" t="inlineStr">
        <is>
          <t>Enpara</t>
        </is>
      </c>
      <c r="D122" t="inlineStr">
        <is>
          <t>DOLAR</t>
        </is>
      </c>
      <c r="E122" s="5" t="n">
        <v>47.795</v>
      </c>
      <c r="F122" s="5" t="n">
        <v>48.645</v>
      </c>
      <c r="G122" s="5">
        <f>IF(OR(E122="",F122=""),"",F122-E122)</f>
        <v/>
      </c>
      <c r="H122" s="6">
        <f>IFERROR(G122/E122,"")</f>
        <v/>
      </c>
      <c r="I122" s="44" t="inlineStr">
        <is>
          <t>DOĞRU</t>
        </is>
      </c>
      <c r="J122" s="45" t="inlineStr">
        <is>
          <t>https://kur.doviz.com/serbest-piyasa/amerikan-dolari</t>
        </is>
      </c>
      <c r="K122" s="5" t="n">
        <v>0.85</v>
      </c>
      <c r="L122" s="6" t="n">
        <v>0.0178</v>
      </c>
      <c r="M122" s="46" t="inlineStr"/>
      <c r="N122" s="47" t="n">
        <v>0.5572569444444444</v>
      </c>
    </row>
    <row r="123">
      <c r="A123" s="2" t="n">
        <v>46262</v>
      </c>
      <c r="B123" s="3" t="n">
        <v>0.5665625</v>
      </c>
      <c r="C123" s="16" t="inlineStr">
        <is>
          <t>Enpara</t>
        </is>
      </c>
      <c r="D123" t="inlineStr">
        <is>
          <t>DOLAR</t>
        </is>
      </c>
      <c r="E123" s="5" t="n">
        <v>47.795</v>
      </c>
      <c r="F123" s="5" t="n">
        <v>48.645</v>
      </c>
      <c r="G123" s="5">
        <f>IF(OR(E123="",F123=""),"",F123-E123)</f>
        <v/>
      </c>
      <c r="H123" s="6">
        <f>IFERROR(G123/E123,"")</f>
        <v/>
      </c>
      <c r="I123" s="44" t="inlineStr">
        <is>
          <t>DOĞRU</t>
        </is>
      </c>
      <c r="J123" s="45" t="inlineStr">
        <is>
          <t>https://kur.doviz.com/serbest-piyasa/amerikan-dolari</t>
        </is>
      </c>
      <c r="K123" s="5" t="n">
        <v>0.85</v>
      </c>
      <c r="L123" s="6" t="n">
        <v>0.0178</v>
      </c>
      <c r="M123" s="46" t="inlineStr"/>
      <c r="N123" s="47" t="n">
        <v>0.5667592592592593</v>
      </c>
    </row>
    <row r="124">
      <c r="A124" s="2" t="n">
        <v>46262</v>
      </c>
      <c r="B124" s="3" t="n">
        <v>0.6021875</v>
      </c>
      <c r="C124" s="16" t="inlineStr">
        <is>
          <t>Enpara</t>
        </is>
      </c>
      <c r="D124" t="inlineStr">
        <is>
          <t>DOLAR</t>
        </is>
      </c>
      <c r="E124" s="5" t="n">
        <v>47.7955</v>
      </c>
      <c r="F124" s="5" t="n">
        <v>48.6455</v>
      </c>
      <c r="G124" s="5">
        <f>IF(OR(E124="",F124=""),"",F124-E124)</f>
        <v/>
      </c>
      <c r="H124" s="6">
        <f>IFERROR(G124/E124,"")</f>
        <v/>
      </c>
      <c r="I124" s="44" t="inlineStr">
        <is>
          <t>DOĞRU</t>
        </is>
      </c>
      <c r="J124" s="45" t="inlineStr">
        <is>
          <t>https://kur.doviz.com/serbest-piyasa/amerikan-dolari</t>
        </is>
      </c>
      <c r="K124" s="5" t="n">
        <v>0.85</v>
      </c>
      <c r="L124" s="6" t="n">
        <v>0.0178</v>
      </c>
      <c r="M124" s="46" t="inlineStr"/>
      <c r="N124" s="47" t="n">
        <v>0.6023379629629629</v>
      </c>
    </row>
    <row r="125">
      <c r="A125" s="2" t="n">
        <v>46262</v>
      </c>
      <c r="B125" s="3" t="n">
        <v>0.6194560185185185</v>
      </c>
      <c r="C125" s="16" t="inlineStr">
        <is>
          <t>Enpara</t>
        </is>
      </c>
      <c r="D125" t="inlineStr">
        <is>
          <t>DOLAR</t>
        </is>
      </c>
      <c r="E125" s="5" t="n">
        <v>47.795</v>
      </c>
      <c r="F125" s="5" t="n">
        <v>48.645</v>
      </c>
      <c r="G125" s="5">
        <f>IF(OR(E125="",F125=""),"",F125-E125)</f>
        <v/>
      </c>
      <c r="H125" s="6">
        <f>IFERROR(G125/E125,"")</f>
        <v/>
      </c>
      <c r="I125" s="44" t="inlineStr">
        <is>
          <t>DOĞRU</t>
        </is>
      </c>
      <c r="J125" s="45" t="inlineStr">
        <is>
          <t>https://kur.doviz.com/serbest-piyasa/amerikan-dolari</t>
        </is>
      </c>
      <c r="K125" s="5" t="n">
        <v>0.85</v>
      </c>
      <c r="L125" s="6" t="n">
        <v>0.0178</v>
      </c>
      <c r="M125" s="46" t="inlineStr"/>
      <c r="N125" s="47" t="n">
        <v>0.6196180555555556</v>
      </c>
    </row>
    <row r="126">
      <c r="A126" s="2" t="n">
        <v>46262</v>
      </c>
      <c r="B126" s="3" t="n">
        <v>0.5570949074074074</v>
      </c>
      <c r="C126" s="16" t="inlineStr">
        <is>
          <t>Enpara</t>
        </is>
      </c>
      <c r="D126" t="inlineStr">
        <is>
          <t>EURO</t>
        </is>
      </c>
      <c r="E126" s="5" t="n">
        <v>55.5499</v>
      </c>
      <c r="F126" s="5" t="n">
        <v>56.7126</v>
      </c>
      <c r="G126" s="5">
        <f>IF(OR(E126="",F126=""),"",F126-E126)</f>
        <v/>
      </c>
      <c r="H126" s="6">
        <f>IFERROR(G126/E126,"")</f>
        <v/>
      </c>
      <c r="I126" s="44" t="inlineStr">
        <is>
          <t>DOĞRU</t>
        </is>
      </c>
      <c r="J126" s="45" t="inlineStr">
        <is>
          <t>https://kur.doviz.com/serbest-piyasa/euro</t>
        </is>
      </c>
      <c r="K126" s="5" t="n">
        <v>1.1626</v>
      </c>
      <c r="L126" s="6" t="n">
        <v>0.0209</v>
      </c>
      <c r="M126" s="46" t="inlineStr"/>
      <c r="N126" s="47" t="n">
        <v>0.5574074074074075</v>
      </c>
    </row>
    <row r="127">
      <c r="A127" s="2" t="n">
        <v>46262</v>
      </c>
      <c r="B127" s="3" t="n">
        <v>0.5665625</v>
      </c>
      <c r="C127" s="16" t="inlineStr">
        <is>
          <t>Enpara</t>
        </is>
      </c>
      <c r="D127" t="inlineStr">
        <is>
          <t>EURO</t>
        </is>
      </c>
      <c r="E127" s="5" t="n">
        <v>55.5738</v>
      </c>
      <c r="F127" s="5" t="n">
        <v>56.7418</v>
      </c>
      <c r="G127" s="5">
        <f>IF(OR(E127="",F127=""),"",F127-E127)</f>
        <v/>
      </c>
      <c r="H127" s="6">
        <f>IFERROR(G127/E127,"")</f>
        <v/>
      </c>
      <c r="I127" s="44" t="inlineStr">
        <is>
          <t>DOĞRU</t>
        </is>
      </c>
      <c r="J127" s="45" t="inlineStr">
        <is>
          <t>https://kur.doviz.com/serbest-piyasa/euro</t>
        </is>
      </c>
      <c r="K127" s="5" t="n">
        <v>1.168</v>
      </c>
      <c r="L127" s="6" t="n">
        <v>0.021</v>
      </c>
      <c r="M127" s="46" t="inlineStr"/>
      <c r="N127" s="47" t="n">
        <v>0.5669097222222222</v>
      </c>
    </row>
    <row r="128">
      <c r="A128" s="2" t="n">
        <v>46262</v>
      </c>
      <c r="B128" s="3" t="n">
        <v>0.6021875</v>
      </c>
      <c r="C128" s="16" t="inlineStr">
        <is>
          <t>Enpara</t>
        </is>
      </c>
      <c r="D128" t="inlineStr">
        <is>
          <t>EURO</t>
        </is>
      </c>
      <c r="E128" s="5" t="n">
        <v>55.5839</v>
      </c>
      <c r="F128" s="5" t="n">
        <v>56.7521</v>
      </c>
      <c r="G128" s="5">
        <f>IF(OR(E128="",F128=""),"",F128-E128)</f>
        <v/>
      </c>
      <c r="H128" s="6">
        <f>IFERROR(G128/E128,"")</f>
        <v/>
      </c>
      <c r="I128" s="44" t="inlineStr">
        <is>
          <t>DOĞRU</t>
        </is>
      </c>
      <c r="J128" s="45" t="inlineStr">
        <is>
          <t>https://kur.doviz.com/serbest-piyasa/euro</t>
        </is>
      </c>
      <c r="K128" s="5" t="n">
        <v>1.1682</v>
      </c>
      <c r="L128" s="6" t="n">
        <v>0.021</v>
      </c>
      <c r="M128" s="46" t="inlineStr"/>
      <c r="N128" s="47" t="n">
        <v>0.6024884259259259</v>
      </c>
    </row>
    <row r="129">
      <c r="A129" s="2" t="n">
        <v>46262</v>
      </c>
      <c r="B129" s="3" t="n">
        <v>0.6194560185185185</v>
      </c>
      <c r="C129" s="16" t="inlineStr">
        <is>
          <t>Enpara</t>
        </is>
      </c>
      <c r="D129" t="inlineStr">
        <is>
          <t>EURO</t>
        </is>
      </c>
      <c r="E129" s="5" t="n">
        <v>55.569</v>
      </c>
      <c r="F129" s="5" t="n">
        <v>56.737</v>
      </c>
      <c r="G129" s="5">
        <f>IF(OR(E129="",F129=""),"",F129-E129)</f>
        <v/>
      </c>
      <c r="H129" s="6">
        <f>IFERROR(G129/E129,"")</f>
        <v/>
      </c>
      <c r="I129" s="44" t="inlineStr">
        <is>
          <t>DOĞRU</t>
        </is>
      </c>
      <c r="J129" s="45" t="inlineStr">
        <is>
          <t>https://kur.doviz.com/serbest-piyasa/euro</t>
        </is>
      </c>
      <c r="K129" s="5" t="n">
        <v>1.17</v>
      </c>
      <c r="L129" s="6" t="n">
        <v>0.021</v>
      </c>
      <c r="M129" s="46" t="inlineStr"/>
      <c r="N129" s="47" t="n">
        <v>0.6196990740740741</v>
      </c>
    </row>
    <row r="130">
      <c r="A130" s="2" t="n">
        <v>46262</v>
      </c>
      <c r="B130" s="3" t="n">
        <v>0.5570949074074074</v>
      </c>
      <c r="C130" s="16" t="inlineStr">
        <is>
          <t>Enpara</t>
        </is>
      </c>
      <c r="D130" t="inlineStr">
        <is>
          <t>GRAM_ALTIN</t>
        </is>
      </c>
      <c r="E130" s="5" t="n">
        <v>7028.87</v>
      </c>
      <c r="F130" s="5" t="n">
        <v>7191.97</v>
      </c>
      <c r="G130" s="5">
        <f>IF(OR(E130="",F130=""),"",F130-E130)</f>
        <v/>
      </c>
      <c r="H130" s="6">
        <f>IFERROR(G130/E130,"")</f>
        <v/>
      </c>
      <c r="I130" s="44" t="inlineStr">
        <is>
          <t>DOĞRU</t>
        </is>
      </c>
      <c r="J130" s="45" t="inlineStr">
        <is>
          <t>https://altin.doviz.com/gram-altin</t>
        </is>
      </c>
      <c r="K130" s="5" t="n">
        <v>163.1</v>
      </c>
      <c r="L130" s="6" t="n">
        <v>0.0232</v>
      </c>
      <c r="M130" s="46" t="inlineStr"/>
      <c r="N130" s="47" t="n">
        <v>0.5575578703703704</v>
      </c>
    </row>
    <row r="131">
      <c r="A131" s="2" t="n">
        <v>46262</v>
      </c>
      <c r="B131" s="3" t="n">
        <v>0.5665625</v>
      </c>
      <c r="C131" s="16" t="inlineStr">
        <is>
          <t>Enpara</t>
        </is>
      </c>
      <c r="D131" t="inlineStr">
        <is>
          <t>GRAM_ALTIN</t>
        </is>
      </c>
      <c r="E131" s="5" t="n">
        <v>7032.7</v>
      </c>
      <c r="F131" s="5" t="n">
        <v>7195.66</v>
      </c>
      <c r="G131" s="5">
        <f>IF(OR(E131="",F131=""),"",F131-E131)</f>
        <v/>
      </c>
      <c r="H131" s="6">
        <f>IFERROR(G131/E131,"")</f>
        <v/>
      </c>
      <c r="I131" s="44" t="inlineStr">
        <is>
          <t>DOĞRU</t>
        </is>
      </c>
      <c r="J131" s="45" t="inlineStr">
        <is>
          <t>https://altin.doviz.com/gram-altin</t>
        </is>
      </c>
      <c r="K131" s="5" t="n">
        <v>162.96</v>
      </c>
      <c r="L131" s="6" t="n">
        <v>0.0232</v>
      </c>
      <c r="M131" s="46" t="inlineStr"/>
      <c r="N131" s="47" t="n">
        <v>0.5670601851851852</v>
      </c>
    </row>
    <row r="132">
      <c r="A132" s="2" t="n">
        <v>46262</v>
      </c>
      <c r="B132" s="3" t="n">
        <v>0.6021875</v>
      </c>
      <c r="C132" s="16" t="inlineStr">
        <is>
          <t>Enpara</t>
        </is>
      </c>
      <c r="D132" t="inlineStr">
        <is>
          <t>GRAM_ALTIN</t>
        </is>
      </c>
      <c r="E132" s="5" t="n">
        <v>7022.73</v>
      </c>
      <c r="F132" s="5" t="n">
        <v>7185.53</v>
      </c>
      <c r="G132" s="5">
        <f>IF(OR(E132="",F132=""),"",F132-E132)</f>
        <v/>
      </c>
      <c r="H132" s="6">
        <f>IFERROR(G132/E132,"")</f>
        <v/>
      </c>
      <c r="I132" s="44" t="inlineStr">
        <is>
          <t>DOĞRU</t>
        </is>
      </c>
      <c r="J132" s="45" t="inlineStr">
        <is>
          <t>https://altin.doviz.com/gram-altin</t>
        </is>
      </c>
      <c r="K132" s="5" t="n">
        <v>162.8</v>
      </c>
      <c r="L132" s="6" t="n">
        <v>0.0232</v>
      </c>
      <c r="M132" s="46" t="inlineStr"/>
      <c r="N132" s="47" t="n">
        <v>0.6026388888888888</v>
      </c>
    </row>
    <row r="133">
      <c r="A133" s="2" t="n">
        <v>46262</v>
      </c>
      <c r="B133" s="3" t="n">
        <v>0.6194560185185185</v>
      </c>
      <c r="C133" s="16" t="inlineStr">
        <is>
          <t>Enpara</t>
        </is>
      </c>
      <c r="D133" t="inlineStr">
        <is>
          <t>GRAM_ALTIN</t>
        </is>
      </c>
      <c r="E133" s="5" t="n">
        <v>7013.74</v>
      </c>
      <c r="F133" s="5" t="n">
        <v>7176.82</v>
      </c>
      <c r="G133" s="5">
        <f>IF(OR(E133="",F133=""),"",F133-E133)</f>
        <v/>
      </c>
      <c r="H133" s="6">
        <f>IFERROR(G133/E133,"")</f>
        <v/>
      </c>
      <c r="I133" s="44" t="inlineStr">
        <is>
          <t>DOĞRU</t>
        </is>
      </c>
      <c r="J133" s="45" t="inlineStr">
        <is>
          <t>https://altin.doviz.com/gram-altin</t>
        </is>
      </c>
      <c r="K133" s="5" t="n">
        <v>163.08</v>
      </c>
      <c r="L133" s="6" t="n">
        <v>0.0233</v>
      </c>
      <c r="M133" s="46" t="inlineStr"/>
      <c r="N133" s="47" t="n">
        <v>0.619849537037037</v>
      </c>
    </row>
    <row r="134">
      <c r="A134" s="2" t="n">
        <v>46262</v>
      </c>
      <c r="B134" s="3" t="n">
        <v>0.5570949074074074</v>
      </c>
      <c r="C134" s="17" t="inlineStr">
        <is>
          <t>Fibabanka</t>
        </is>
      </c>
      <c r="D134" t="inlineStr">
        <is>
          <t>DOLAR</t>
        </is>
      </c>
      <c r="E134" s="5" t="n">
        <v>47.8481</v>
      </c>
      <c r="F134" s="5" t="n">
        <v>48.4682</v>
      </c>
      <c r="G134" s="5">
        <f>IF(OR(E134="",F134=""),"",F134-E134)</f>
        <v/>
      </c>
      <c r="H134" s="6">
        <f>IFERROR(G134/E134,"")</f>
        <v/>
      </c>
      <c r="I134" s="44" t="inlineStr">
        <is>
          <t>DOĞRU</t>
        </is>
      </c>
      <c r="J134" s="45" t="inlineStr">
        <is>
          <t>https://kur.doviz.com/serbest-piyasa/amerikan-dolari</t>
        </is>
      </c>
      <c r="K134" s="5" t="n">
        <v>0.6201</v>
      </c>
      <c r="L134" s="6" t="n">
        <v>0.013</v>
      </c>
      <c r="M134" s="46" t="inlineStr"/>
      <c r="N134" s="47" t="n">
        <v>0.5572569444444444</v>
      </c>
    </row>
    <row r="135">
      <c r="A135" s="2" t="n">
        <v>46262</v>
      </c>
      <c r="B135" s="3" t="n">
        <v>0.5665625</v>
      </c>
      <c r="C135" s="17" t="inlineStr">
        <is>
          <t>Fibabanka</t>
        </is>
      </c>
      <c r="D135" t="inlineStr">
        <is>
          <t>DOLAR</t>
        </is>
      </c>
      <c r="E135" s="5" t="n">
        <v>47.848</v>
      </c>
      <c r="F135" s="5" t="n">
        <v>48.468</v>
      </c>
      <c r="G135" s="5">
        <f>IF(OR(E135="",F135=""),"",F135-E135)</f>
        <v/>
      </c>
      <c r="H135" s="6">
        <f>IFERROR(G135/E135,"")</f>
        <v/>
      </c>
      <c r="I135" s="44" t="inlineStr">
        <is>
          <t>DOĞRU</t>
        </is>
      </c>
      <c r="J135" s="45" t="inlineStr">
        <is>
          <t>https://kur.doviz.com/serbest-piyasa/amerikan-dolari</t>
        </is>
      </c>
      <c r="K135" s="5" t="n">
        <v>0.6201</v>
      </c>
      <c r="L135" s="6" t="n">
        <v>0.013</v>
      </c>
      <c r="M135" s="46" t="inlineStr"/>
      <c r="N135" s="47" t="n">
        <v>0.5667592592592593</v>
      </c>
    </row>
    <row r="136">
      <c r="A136" s="2" t="n">
        <v>46262</v>
      </c>
      <c r="B136" s="3" t="n">
        <v>0.6021875</v>
      </c>
      <c r="C136" s="17" t="inlineStr">
        <is>
          <t>Fibabanka</t>
        </is>
      </c>
      <c r="D136" t="inlineStr">
        <is>
          <t>DOLAR</t>
        </is>
      </c>
      <c r="E136" s="5" t="n">
        <v>47.848</v>
      </c>
      <c r="F136" s="5" t="n">
        <v>48.4681</v>
      </c>
      <c r="G136" s="5">
        <f>IF(OR(E136="",F136=""),"",F136-E136)</f>
        <v/>
      </c>
      <c r="H136" s="6">
        <f>IFERROR(G136/E136,"")</f>
        <v/>
      </c>
      <c r="I136" s="44" t="inlineStr">
        <is>
          <t>DOĞRU</t>
        </is>
      </c>
      <c r="J136" s="45" t="inlineStr">
        <is>
          <t>https://kur.doviz.com/serbest-piyasa/amerikan-dolari</t>
        </is>
      </c>
      <c r="K136" s="5" t="n">
        <v>0.6201</v>
      </c>
      <c r="L136" s="6" t="n">
        <v>0.013</v>
      </c>
      <c r="M136" s="46" t="inlineStr"/>
      <c r="N136" s="47" t="n">
        <v>0.6023379629629629</v>
      </c>
    </row>
    <row r="137">
      <c r="A137" s="2" t="n">
        <v>46262</v>
      </c>
      <c r="B137" s="3" t="n">
        <v>0.6194560185185185</v>
      </c>
      <c r="C137" s="17" t="inlineStr">
        <is>
          <t>Fibabanka</t>
        </is>
      </c>
      <c r="D137" t="inlineStr">
        <is>
          <t>DOLAR</t>
        </is>
      </c>
      <c r="E137" s="5" t="n">
        <v>47.8478</v>
      </c>
      <c r="F137" s="5" t="n">
        <v>48.4679</v>
      </c>
      <c r="G137" s="5">
        <f>IF(OR(E137="",F137=""),"",F137-E137)</f>
        <v/>
      </c>
      <c r="H137" s="6">
        <f>IFERROR(G137/E137,"")</f>
        <v/>
      </c>
      <c r="I137" s="44" t="inlineStr">
        <is>
          <t>DOĞRU</t>
        </is>
      </c>
      <c r="J137" s="45" t="inlineStr">
        <is>
          <t>https://kur.doviz.com/serbest-piyasa/amerikan-dolari</t>
        </is>
      </c>
      <c r="K137" s="5" t="n">
        <v>0.62</v>
      </c>
      <c r="L137" s="6" t="n">
        <v>0.013</v>
      </c>
      <c r="M137" s="46" t="inlineStr"/>
      <c r="N137" s="47" t="n">
        <v>0.6196180555555556</v>
      </c>
    </row>
    <row r="138">
      <c r="A138" s="2" t="n">
        <v>46262</v>
      </c>
      <c r="B138" s="3" t="n">
        <v>0.5570949074074074</v>
      </c>
      <c r="C138" s="17" t="inlineStr">
        <is>
          <t>Fibabanka</t>
        </is>
      </c>
      <c r="D138" t="inlineStr">
        <is>
          <t>EURO</t>
        </is>
      </c>
      <c r="E138" s="5" t="n">
        <v>55.7163</v>
      </c>
      <c r="F138" s="5" t="n">
        <v>56.3944</v>
      </c>
      <c r="G138" s="5">
        <f>IF(OR(E138="",F138=""),"",F138-E138)</f>
        <v/>
      </c>
      <c r="H138" s="6">
        <f>IFERROR(G138/E138,"")</f>
        <v/>
      </c>
      <c r="I138" s="44" t="inlineStr">
        <is>
          <t>DOĞRU</t>
        </is>
      </c>
      <c r="J138" s="45" t="inlineStr">
        <is>
          <t>https://kur.doviz.com/serbest-piyasa/euro</t>
        </is>
      </c>
      <c r="K138" s="5" t="n">
        <v>0.6781</v>
      </c>
      <c r="L138" s="6" t="n">
        <v>0.0122</v>
      </c>
      <c r="M138" s="46" t="inlineStr"/>
      <c r="N138" s="47" t="n">
        <v>0.5574074074074075</v>
      </c>
    </row>
    <row r="139">
      <c r="A139" s="2" t="n">
        <v>46262</v>
      </c>
      <c r="B139" s="3" t="n">
        <v>0.5665625</v>
      </c>
      <c r="C139" s="17" t="inlineStr">
        <is>
          <t>Fibabanka</t>
        </is>
      </c>
      <c r="D139" t="inlineStr">
        <is>
          <t>EURO</t>
        </is>
      </c>
      <c r="E139" s="5" t="n">
        <v>55.7305</v>
      </c>
      <c r="F139" s="5" t="n">
        <v>56.4086</v>
      </c>
      <c r="G139" s="5">
        <f>IF(OR(E139="",F139=""),"",F139-E139)</f>
        <v/>
      </c>
      <c r="H139" s="6">
        <f>IFERROR(G139/E139,"")</f>
        <v/>
      </c>
      <c r="I139" s="44" t="inlineStr">
        <is>
          <t>DOĞRU</t>
        </is>
      </c>
      <c r="J139" s="45" t="inlineStr">
        <is>
          <t>https://kur.doviz.com/serbest-piyasa/euro</t>
        </is>
      </c>
      <c r="K139" s="5" t="n">
        <v>0.6781</v>
      </c>
      <c r="L139" s="6" t="n">
        <v>0.0122</v>
      </c>
      <c r="M139" s="46" t="inlineStr"/>
      <c r="N139" s="47" t="n">
        <v>0.5669097222222222</v>
      </c>
    </row>
    <row r="140">
      <c r="A140" s="2" t="n">
        <v>46262</v>
      </c>
      <c r="B140" s="3" t="n">
        <v>0.6021875</v>
      </c>
      <c r="C140" s="17" t="inlineStr">
        <is>
          <t>Fibabanka</t>
        </is>
      </c>
      <c r="D140" t="inlineStr">
        <is>
          <t>EURO</t>
        </is>
      </c>
      <c r="E140" s="5" t="n">
        <v>55.7387</v>
      </c>
      <c r="F140" s="5" t="n">
        <v>56.4165</v>
      </c>
      <c r="G140" s="5">
        <f>IF(OR(E140="",F140=""),"",F140-E140)</f>
        <v/>
      </c>
      <c r="H140" s="6">
        <f>IFERROR(G140/E140,"")</f>
        <v/>
      </c>
      <c r="I140" s="44" t="inlineStr">
        <is>
          <t>DOĞRU</t>
        </is>
      </c>
      <c r="J140" s="45" t="inlineStr">
        <is>
          <t>https://kur.doviz.com/serbest-piyasa/euro</t>
        </is>
      </c>
      <c r="K140" s="5" t="n">
        <v>0.6777</v>
      </c>
      <c r="L140" s="6" t="n">
        <v>0.0122</v>
      </c>
      <c r="M140" s="46" t="inlineStr"/>
      <c r="N140" s="47" t="n">
        <v>0.6024884259259259</v>
      </c>
    </row>
    <row r="141">
      <c r="A141" s="2" t="n">
        <v>46262</v>
      </c>
      <c r="B141" s="3" t="n">
        <v>0.6194560185185185</v>
      </c>
      <c r="C141" s="17" t="inlineStr">
        <is>
          <t>Fibabanka</t>
        </is>
      </c>
      <c r="D141" t="inlineStr">
        <is>
          <t>EURO</t>
        </is>
      </c>
      <c r="E141" s="5" t="n">
        <v>55.7309</v>
      </c>
      <c r="F141" s="5" t="n">
        <v>56.4079</v>
      </c>
      <c r="G141" s="5">
        <f>IF(OR(E141="",F141=""),"",F141-E141)</f>
        <v/>
      </c>
      <c r="H141" s="6">
        <f>IFERROR(G141/E141,"")</f>
        <v/>
      </c>
      <c r="I141" s="44" t="inlineStr">
        <is>
          <t>DOĞRU</t>
        </is>
      </c>
      <c r="J141" s="45" t="inlineStr">
        <is>
          <t>https://kur.doviz.com/serbest-piyasa/euro</t>
        </is>
      </c>
      <c r="K141" s="5" t="n">
        <v>0.68</v>
      </c>
      <c r="L141" s="6" t="n">
        <v>0.0121</v>
      </c>
      <c r="M141" s="46" t="inlineStr"/>
      <c r="N141" s="47" t="n">
        <v>0.6196990740740741</v>
      </c>
    </row>
    <row r="142">
      <c r="A142" s="2" t="n">
        <v>46262</v>
      </c>
      <c r="B142" s="3" t="n">
        <v>0.5570949074074074</v>
      </c>
      <c r="C142" s="17" t="inlineStr">
        <is>
          <t>Fibabanka</t>
        </is>
      </c>
      <c r="D142" t="inlineStr">
        <is>
          <t>GRAM_ALTIN</t>
        </is>
      </c>
      <c r="E142" s="5" t="n">
        <v>7092.53</v>
      </c>
      <c r="F142" s="5" t="n">
        <v>7149.33</v>
      </c>
      <c r="G142" s="5">
        <f>IF(OR(E142="",F142=""),"",F142-E142)</f>
        <v/>
      </c>
      <c r="H142" s="6">
        <f>IFERROR(G142/E142,"")</f>
        <v/>
      </c>
      <c r="I142" s="44" t="inlineStr">
        <is>
          <t>DOĞRU</t>
        </is>
      </c>
      <c r="J142" s="45" t="inlineStr">
        <is>
          <t>https://altin.doviz.com/gram-altin</t>
        </is>
      </c>
      <c r="K142" s="5" t="n">
        <v>56.79</v>
      </c>
      <c r="L142" s="6" t="n">
        <v>0.008</v>
      </c>
      <c r="M142" s="46" t="inlineStr"/>
      <c r="N142" s="47" t="n">
        <v>0.5575578703703704</v>
      </c>
    </row>
    <row r="143">
      <c r="A143" s="2" t="n">
        <v>46262</v>
      </c>
      <c r="B143" s="3" t="n">
        <v>0.5665625</v>
      </c>
      <c r="C143" s="17" t="inlineStr">
        <is>
          <t>Fibabanka</t>
        </is>
      </c>
      <c r="D143" t="inlineStr">
        <is>
          <t>GRAM_ALTIN</t>
        </is>
      </c>
      <c r="E143" s="5" t="n">
        <v>7095.83</v>
      </c>
      <c r="F143" s="5" t="n">
        <v>7152.33</v>
      </c>
      <c r="G143" s="5">
        <f>IF(OR(E143="",F143=""),"",F143-E143)</f>
        <v/>
      </c>
      <c r="H143" s="6">
        <f>IFERROR(G143/E143,"")</f>
        <v/>
      </c>
      <c r="I143" s="44" t="inlineStr">
        <is>
          <t>DOĞRU</t>
        </is>
      </c>
      <c r="J143" s="45" t="inlineStr">
        <is>
          <t>https://altin.doviz.com/gram-altin</t>
        </is>
      </c>
      <c r="K143" s="5" t="n">
        <v>56.5</v>
      </c>
      <c r="L143" s="6" t="n">
        <v>0.008</v>
      </c>
      <c r="M143" s="46" t="inlineStr"/>
      <c r="N143" s="47" t="n">
        <v>0.5670601851851852</v>
      </c>
    </row>
    <row r="144">
      <c r="A144" s="2" t="n">
        <v>46262</v>
      </c>
      <c r="B144" s="3" t="n">
        <v>0.6021875</v>
      </c>
      <c r="C144" s="17" t="inlineStr">
        <is>
          <t>Fibabanka</t>
        </is>
      </c>
      <c r="D144" t="inlineStr">
        <is>
          <t>GRAM_ALTIN</t>
        </is>
      </c>
      <c r="E144" s="5" t="n">
        <v>7084.91</v>
      </c>
      <c r="F144" s="5" t="n">
        <v>7141.56</v>
      </c>
      <c r="G144" s="5">
        <f>IF(OR(E144="",F144=""),"",F144-E144)</f>
        <v/>
      </c>
      <c r="H144" s="6">
        <f>IFERROR(G144/E144,"")</f>
        <v/>
      </c>
      <c r="I144" s="44" t="inlineStr">
        <is>
          <t>DOĞRU</t>
        </is>
      </c>
      <c r="J144" s="45" t="inlineStr">
        <is>
          <t>https://altin.doviz.com/gram-altin</t>
        </is>
      </c>
      <c r="K144" s="5" t="n">
        <v>56.65</v>
      </c>
      <c r="L144" s="6" t="n">
        <v>0.008</v>
      </c>
      <c r="M144" s="46" t="inlineStr"/>
      <c r="N144" s="47" t="n">
        <v>0.6026388888888888</v>
      </c>
    </row>
    <row r="145">
      <c r="A145" s="2" t="n">
        <v>46262</v>
      </c>
      <c r="B145" s="3" t="n">
        <v>0.6194560185185185</v>
      </c>
      <c r="C145" s="17" t="inlineStr">
        <is>
          <t>Fibabanka</t>
        </is>
      </c>
      <c r="D145" t="inlineStr">
        <is>
          <t>GRAM_ALTIN</t>
        </is>
      </c>
      <c r="E145" s="5" t="n">
        <v>7075.8</v>
      </c>
      <c r="F145" s="5" t="n">
        <v>7132.35</v>
      </c>
      <c r="G145" s="5">
        <f>IF(OR(E145="",F145=""),"",F145-E145)</f>
        <v/>
      </c>
      <c r="H145" s="6">
        <f>IFERROR(G145/E145,"")</f>
        <v/>
      </c>
      <c r="I145" s="44" t="inlineStr">
        <is>
          <t>DOĞRU</t>
        </is>
      </c>
      <c r="J145" s="45" t="inlineStr">
        <is>
          <t>https://altin.doviz.com/gram-altin</t>
        </is>
      </c>
      <c r="K145" s="5" t="n">
        <v>56.54</v>
      </c>
      <c r="L145" s="6" t="n">
        <v>0.008</v>
      </c>
      <c r="M145" s="46" t="inlineStr"/>
      <c r="N145" s="47" t="n">
        <v>0.619849537037037</v>
      </c>
    </row>
    <row r="146">
      <c r="A146" s="2" t="n">
        <v>46262</v>
      </c>
      <c r="B146" s="3" t="n">
        <v>0.5570949074074074</v>
      </c>
      <c r="C146" s="18" t="inlineStr">
        <is>
          <t>Garanti BBVA</t>
        </is>
      </c>
      <c r="D146" t="inlineStr">
        <is>
          <t>DOLAR</t>
        </is>
      </c>
      <c r="E146" s="5" t="n">
        <v>47.315</v>
      </c>
      <c r="F146" s="5" t="n">
        <v>48.665</v>
      </c>
      <c r="G146" s="5">
        <f>IF(OR(E146="",F146=""),"",F146-E146)</f>
        <v/>
      </c>
      <c r="H146" s="6">
        <f>IFERROR(G146/E146,"")</f>
        <v/>
      </c>
      <c r="I146" s="44" t="inlineStr">
        <is>
          <t>DOĞRU</t>
        </is>
      </c>
      <c r="J146" s="45" t="inlineStr">
        <is>
          <t>https://kur.doviz.com/serbest-piyasa/amerikan-dolari</t>
        </is>
      </c>
      <c r="K146" s="5" t="n">
        <v>1.35</v>
      </c>
      <c r="L146" s="6" t="n">
        <v>0.0285</v>
      </c>
      <c r="M146" s="46" t="inlineStr"/>
      <c r="N146" s="47" t="n">
        <v>0.5572569444444444</v>
      </c>
    </row>
    <row r="147">
      <c r="A147" s="2" t="n">
        <v>46262</v>
      </c>
      <c r="B147" s="3" t="n">
        <v>0.5665625</v>
      </c>
      <c r="C147" s="18" t="inlineStr">
        <is>
          <t>Garanti BBVA</t>
        </is>
      </c>
      <c r="D147" t="inlineStr">
        <is>
          <t>DOLAR</t>
        </is>
      </c>
      <c r="E147" s="5" t="n">
        <v>47.315</v>
      </c>
      <c r="F147" s="5" t="n">
        <v>48.665</v>
      </c>
      <c r="G147" s="5">
        <f>IF(OR(E147="",F147=""),"",F147-E147)</f>
        <v/>
      </c>
      <c r="H147" s="6">
        <f>IFERROR(G147/E147,"")</f>
        <v/>
      </c>
      <c r="I147" s="44" t="inlineStr">
        <is>
          <t>DOĞRU</t>
        </is>
      </c>
      <c r="J147" s="45" t="inlineStr">
        <is>
          <t>https://kur.doviz.com/serbest-piyasa/amerikan-dolari</t>
        </is>
      </c>
      <c r="K147" s="5" t="n">
        <v>1.35</v>
      </c>
      <c r="L147" s="6" t="n">
        <v>0.0285</v>
      </c>
      <c r="M147" s="46" t="inlineStr"/>
      <c r="N147" s="47" t="n">
        <v>0.5667592592592593</v>
      </c>
    </row>
    <row r="148">
      <c r="A148" s="2" t="n">
        <v>46262</v>
      </c>
      <c r="B148" s="3" t="n">
        <v>0.6021875</v>
      </c>
      <c r="C148" s="18" t="inlineStr">
        <is>
          <t>Garanti BBVA</t>
        </is>
      </c>
      <c r="D148" t="inlineStr">
        <is>
          <t>DOLAR</t>
        </is>
      </c>
      <c r="E148" s="5" t="n">
        <v>47.315</v>
      </c>
      <c r="F148" s="5" t="n">
        <v>48.665</v>
      </c>
      <c r="G148" s="5">
        <f>IF(OR(E148="",F148=""),"",F148-E148)</f>
        <v/>
      </c>
      <c r="H148" s="6">
        <f>IFERROR(G148/E148,"")</f>
        <v/>
      </c>
      <c r="I148" s="44" t="inlineStr">
        <is>
          <t>DOĞRU</t>
        </is>
      </c>
      <c r="J148" s="45" t="inlineStr">
        <is>
          <t>https://kur.doviz.com/serbest-piyasa/amerikan-dolari</t>
        </is>
      </c>
      <c r="K148" s="5" t="n">
        <v>1.35</v>
      </c>
      <c r="L148" s="6" t="n">
        <v>0.0285</v>
      </c>
      <c r="M148" s="46" t="inlineStr"/>
      <c r="N148" s="47" t="n">
        <v>0.6023379629629629</v>
      </c>
    </row>
    <row r="149">
      <c r="A149" s="2" t="n">
        <v>46262</v>
      </c>
      <c r="B149" s="3" t="n">
        <v>0.6194560185185185</v>
      </c>
      <c r="C149" s="18" t="inlineStr">
        <is>
          <t>Garanti BBVA</t>
        </is>
      </c>
      <c r="D149" t="inlineStr">
        <is>
          <t>DOLAR</t>
        </is>
      </c>
      <c r="E149" s="5" t="n">
        <v>47.315</v>
      </c>
      <c r="F149" s="5" t="n">
        <v>48.665</v>
      </c>
      <c r="G149" s="5">
        <f>IF(OR(E149="",F149=""),"",F149-E149)</f>
        <v/>
      </c>
      <c r="H149" s="6">
        <f>IFERROR(G149/E149,"")</f>
        <v/>
      </c>
      <c r="I149" s="44" t="inlineStr">
        <is>
          <t>DOĞRU</t>
        </is>
      </c>
      <c r="J149" s="45" t="inlineStr">
        <is>
          <t>https://kur.doviz.com/serbest-piyasa/amerikan-dolari</t>
        </is>
      </c>
      <c r="K149" s="5" t="n">
        <v>1.35</v>
      </c>
      <c r="L149" s="6" t="n">
        <v>0.0285</v>
      </c>
      <c r="M149" s="46" t="inlineStr"/>
      <c r="N149" s="47" t="n">
        <v>0.6196180555555556</v>
      </c>
    </row>
    <row r="150">
      <c r="A150" s="2" t="n">
        <v>46262</v>
      </c>
      <c r="B150" s="3" t="n">
        <v>0.5570949074074074</v>
      </c>
      <c r="C150" s="18" t="inlineStr">
        <is>
          <t>Garanti BBVA</t>
        </is>
      </c>
      <c r="D150" t="inlineStr">
        <is>
          <t>EURO</t>
        </is>
      </c>
      <c r="E150" s="5" t="n">
        <v>55.084</v>
      </c>
      <c r="F150" s="5" t="n">
        <v>56.656</v>
      </c>
      <c r="G150" s="5">
        <f>IF(OR(E150="",F150=""),"",F150-E150)</f>
        <v/>
      </c>
      <c r="H150" s="6">
        <f>IFERROR(G150/E150,"")</f>
        <v/>
      </c>
      <c r="I150" s="44" t="inlineStr">
        <is>
          <t>DOĞRU</t>
        </is>
      </c>
      <c r="J150" s="45" t="inlineStr">
        <is>
          <t>https://kur.doviz.com/serbest-piyasa/euro</t>
        </is>
      </c>
      <c r="K150" s="5" t="n">
        <v>1.572</v>
      </c>
      <c r="L150" s="6" t="n">
        <v>0.0285</v>
      </c>
      <c r="M150" s="46" t="inlineStr"/>
      <c r="N150" s="47" t="n">
        <v>0.5574074074074075</v>
      </c>
    </row>
    <row r="151">
      <c r="A151" s="2" t="n">
        <v>46262</v>
      </c>
      <c r="B151" s="3" t="n">
        <v>0.5665625</v>
      </c>
      <c r="C151" s="18" t="inlineStr">
        <is>
          <t>Garanti BBVA</t>
        </is>
      </c>
      <c r="D151" t="inlineStr">
        <is>
          <t>EURO</t>
        </is>
      </c>
      <c r="E151" s="5" t="n">
        <v>55.098</v>
      </c>
      <c r="F151" s="5" t="n">
        <v>56.67</v>
      </c>
      <c r="G151" s="5">
        <f>IF(OR(E151="",F151=""),"",F151-E151)</f>
        <v/>
      </c>
      <c r="H151" s="6">
        <f>IFERROR(G151/E151,"")</f>
        <v/>
      </c>
      <c r="I151" s="44" t="inlineStr">
        <is>
          <t>DOĞRU</t>
        </is>
      </c>
      <c r="J151" s="45" t="inlineStr">
        <is>
          <t>https://kur.doviz.com/serbest-piyasa/euro</t>
        </is>
      </c>
      <c r="K151" s="5" t="n">
        <v>1.572</v>
      </c>
      <c r="L151" s="6" t="n">
        <v>0.0285</v>
      </c>
      <c r="M151" s="46" t="inlineStr"/>
      <c r="N151" s="47" t="n">
        <v>0.5669097222222222</v>
      </c>
    </row>
    <row r="152">
      <c r="A152" s="2" t="n">
        <v>46262</v>
      </c>
      <c r="B152" s="3" t="n">
        <v>0.6021875</v>
      </c>
      <c r="C152" s="18" t="inlineStr">
        <is>
          <t>Garanti BBVA</t>
        </is>
      </c>
      <c r="D152" t="inlineStr">
        <is>
          <t>EURO</t>
        </is>
      </c>
      <c r="E152" s="5" t="n">
        <v>55.103</v>
      </c>
      <c r="F152" s="5" t="n">
        <v>56.675</v>
      </c>
      <c r="G152" s="5">
        <f>IF(OR(E152="",F152=""),"",F152-E152)</f>
        <v/>
      </c>
      <c r="H152" s="6">
        <f>IFERROR(G152/E152,"")</f>
        <v/>
      </c>
      <c r="I152" s="44" t="inlineStr">
        <is>
          <t>DOĞRU</t>
        </is>
      </c>
      <c r="J152" s="45" t="inlineStr">
        <is>
          <t>https://kur.doviz.com/serbest-piyasa/euro</t>
        </is>
      </c>
      <c r="K152" s="5" t="n">
        <v>1.572</v>
      </c>
      <c r="L152" s="6" t="n">
        <v>0.0285</v>
      </c>
      <c r="M152" s="46" t="inlineStr"/>
      <c r="N152" s="47" t="n">
        <v>0.6024884259259259</v>
      </c>
    </row>
    <row r="153">
      <c r="A153" s="2" t="n">
        <v>46262</v>
      </c>
      <c r="B153" s="3" t="n">
        <v>0.6194560185185185</v>
      </c>
      <c r="C153" s="18" t="inlineStr">
        <is>
          <t>Garanti BBVA</t>
        </is>
      </c>
      <c r="D153" t="inlineStr">
        <is>
          <t>EURO</t>
        </is>
      </c>
      <c r="E153" s="5" t="n">
        <v>55.107</v>
      </c>
      <c r="F153" s="5" t="n">
        <v>56.68</v>
      </c>
      <c r="G153" s="5">
        <f>IF(OR(E153="",F153=""),"",F153-E153)</f>
        <v/>
      </c>
      <c r="H153" s="6">
        <f>IFERROR(G153/E153,"")</f>
        <v/>
      </c>
      <c r="I153" s="44" t="inlineStr">
        <is>
          <t>DOĞRU</t>
        </is>
      </c>
      <c r="J153" s="45" t="inlineStr">
        <is>
          <t>https://kur.doviz.com/serbest-piyasa/euro</t>
        </is>
      </c>
      <c r="K153" s="5" t="n">
        <v>1.57</v>
      </c>
      <c r="L153" s="6" t="n">
        <v>0.0285</v>
      </c>
      <c r="M153" s="46" t="inlineStr"/>
      <c r="N153" s="47" t="n">
        <v>0.6196990740740741</v>
      </c>
    </row>
    <row r="154">
      <c r="A154" s="2" t="n">
        <v>46262</v>
      </c>
      <c r="B154" s="3" t="n">
        <v>0.5570949074074074</v>
      </c>
      <c r="C154" s="18" t="inlineStr">
        <is>
          <t>Garanti BBVA</t>
        </is>
      </c>
      <c r="D154" t="inlineStr">
        <is>
          <t>GRAM_ALTIN</t>
        </is>
      </c>
      <c r="E154" s="5" t="n">
        <v>6986.24</v>
      </c>
      <c r="F154" s="5" t="n">
        <v>7244.46</v>
      </c>
      <c r="G154" s="5">
        <f>IF(OR(E154="",F154=""),"",F154-E154)</f>
        <v/>
      </c>
      <c r="H154" s="6">
        <f>IFERROR(G154/E154,"")</f>
        <v/>
      </c>
      <c r="I154" s="44" t="inlineStr">
        <is>
          <t>DOĞRU</t>
        </is>
      </c>
      <c r="J154" s="45" t="inlineStr">
        <is>
          <t>https://altin.doviz.com/gram-altin</t>
        </is>
      </c>
      <c r="K154" s="5" t="n">
        <v>258.22</v>
      </c>
      <c r="L154" s="6" t="n">
        <v>0.03700000000000001</v>
      </c>
      <c r="M154" s="46" t="inlineStr"/>
      <c r="N154" s="47" t="n">
        <v>0.5575578703703704</v>
      </c>
    </row>
    <row r="155">
      <c r="A155" s="2" t="n">
        <v>46262</v>
      </c>
      <c r="B155" s="3" t="n">
        <v>0.5665625</v>
      </c>
      <c r="C155" s="18" t="inlineStr">
        <is>
          <t>Garanti BBVA</t>
        </is>
      </c>
      <c r="D155" t="inlineStr">
        <is>
          <t>GRAM_ALTIN</t>
        </is>
      </c>
      <c r="E155" s="5" t="n">
        <v>6987.18</v>
      </c>
      <c r="F155" s="5" t="n">
        <v>7245.43</v>
      </c>
      <c r="G155" s="5">
        <f>IF(OR(E155="",F155=""),"",F155-E155)</f>
        <v/>
      </c>
      <c r="H155" s="6">
        <f>IFERROR(G155/E155,"")</f>
        <v/>
      </c>
      <c r="I155" s="44" t="inlineStr">
        <is>
          <t>DOĞRU</t>
        </is>
      </c>
      <c r="J155" s="45" t="inlineStr">
        <is>
          <t>https://altin.doviz.com/gram-altin</t>
        </is>
      </c>
      <c r="K155" s="5" t="n">
        <v>258.25</v>
      </c>
      <c r="L155" s="6" t="n">
        <v>0.03700000000000001</v>
      </c>
      <c r="M155" s="46" t="inlineStr"/>
      <c r="N155" s="47" t="n">
        <v>0.5670601851851852</v>
      </c>
    </row>
    <row r="156">
      <c r="A156" s="2" t="n">
        <v>46262</v>
      </c>
      <c r="B156" s="3" t="n">
        <v>0.6021875</v>
      </c>
      <c r="C156" s="18" t="inlineStr">
        <is>
          <t>Garanti BBVA</t>
        </is>
      </c>
      <c r="D156" t="inlineStr">
        <is>
          <t>GRAM_ALTIN</t>
        </is>
      </c>
      <c r="E156" s="5" t="n">
        <v>6974.74</v>
      </c>
      <c r="F156" s="5" t="n">
        <v>7232.53</v>
      </c>
      <c r="G156" s="5">
        <f>IF(OR(E156="",F156=""),"",F156-E156)</f>
        <v/>
      </c>
      <c r="H156" s="6">
        <f>IFERROR(G156/E156,"")</f>
        <v/>
      </c>
      <c r="I156" s="44" t="inlineStr">
        <is>
          <t>DOĞRU</t>
        </is>
      </c>
      <c r="J156" s="45" t="inlineStr">
        <is>
          <t>https://altin.doviz.com/gram-altin</t>
        </is>
      </c>
      <c r="K156" s="5" t="n">
        <v>257.79</v>
      </c>
      <c r="L156" s="6" t="n">
        <v>0.03700000000000001</v>
      </c>
      <c r="M156" s="46" t="inlineStr"/>
      <c r="N156" s="47" t="n">
        <v>0.6026388888888888</v>
      </c>
    </row>
    <row r="157">
      <c r="A157" s="2" t="n">
        <v>46262</v>
      </c>
      <c r="B157" s="3" t="n">
        <v>0.6194560185185185</v>
      </c>
      <c r="C157" s="18" t="inlineStr">
        <is>
          <t>Garanti BBVA</t>
        </is>
      </c>
      <c r="D157" t="inlineStr">
        <is>
          <t>GRAM_ALTIN</t>
        </is>
      </c>
      <c r="E157" s="5" t="n">
        <v>6969.52</v>
      </c>
      <c r="F157" s="5" t="n">
        <v>7227.12</v>
      </c>
      <c r="G157" s="5">
        <f>IF(OR(E157="",F157=""),"",F157-E157)</f>
        <v/>
      </c>
      <c r="H157" s="6">
        <f>IFERROR(G157/E157,"")</f>
        <v/>
      </c>
      <c r="I157" s="44" t="inlineStr">
        <is>
          <t>DOĞRU</t>
        </is>
      </c>
      <c r="J157" s="45" t="inlineStr">
        <is>
          <t>https://altin.doviz.com/gram-altin</t>
        </is>
      </c>
      <c r="K157" s="5" t="n">
        <v>257.6</v>
      </c>
      <c r="L157" s="6" t="n">
        <v>0.03700000000000001</v>
      </c>
      <c r="M157" s="46" t="inlineStr"/>
      <c r="N157" s="47" t="n">
        <v>0.619849537037037</v>
      </c>
    </row>
    <row r="158">
      <c r="A158" s="2" t="n">
        <v>46262</v>
      </c>
      <c r="B158" s="3" t="n">
        <v>0.5570949074074074</v>
      </c>
      <c r="C158" s="19" t="inlineStr">
        <is>
          <t>Getirfinans</t>
        </is>
      </c>
      <c r="D158" t="inlineStr">
        <is>
          <t>DOLAR</t>
        </is>
      </c>
      <c r="E158" s="5" t="n">
        <v>47.8481</v>
      </c>
      <c r="F158" s="5" t="n">
        <v>48.4681</v>
      </c>
      <c r="G158" s="5">
        <f>IF(OR(E158="",F158=""),"",F158-E158)</f>
        <v/>
      </c>
      <c r="H158" s="6">
        <f>IFERROR(G158/E158,"")</f>
        <v/>
      </c>
      <c r="I158" s="44" t="inlineStr">
        <is>
          <t>DOĞRU</t>
        </is>
      </c>
      <c r="J158" s="45" t="inlineStr">
        <is>
          <t>https://kur.doviz.com/serbest-piyasa/amerikan-dolari</t>
        </is>
      </c>
      <c r="K158" s="5" t="n">
        <v>0.62</v>
      </c>
      <c r="L158" s="6" t="n">
        <v>0.013</v>
      </c>
      <c r="M158" s="46" t="inlineStr"/>
      <c r="N158" s="47" t="n">
        <v>0.5572569444444444</v>
      </c>
    </row>
    <row r="159">
      <c r="A159" s="2" t="n">
        <v>46262</v>
      </c>
      <c r="B159" s="3" t="n">
        <v>0.5665625</v>
      </c>
      <c r="C159" s="19" t="inlineStr">
        <is>
          <t>Getirfinans</t>
        </is>
      </c>
      <c r="D159" t="inlineStr">
        <is>
          <t>DOLAR</t>
        </is>
      </c>
      <c r="E159" s="5" t="n">
        <v>47.8479</v>
      </c>
      <c r="F159" s="5" t="n">
        <v>48.468</v>
      </c>
      <c r="G159" s="5">
        <f>IF(OR(E159="",F159=""),"",F159-E159)</f>
        <v/>
      </c>
      <c r="H159" s="6">
        <f>IFERROR(G159/E159,"")</f>
        <v/>
      </c>
      <c r="I159" s="44" t="inlineStr">
        <is>
          <t>DOĞRU</t>
        </is>
      </c>
      <c r="J159" s="45" t="inlineStr">
        <is>
          <t>https://kur.doviz.com/serbest-piyasa/amerikan-dolari</t>
        </is>
      </c>
      <c r="K159" s="5" t="n">
        <v>0.6201</v>
      </c>
      <c r="L159" s="6" t="n">
        <v>0.013</v>
      </c>
      <c r="M159" s="46" t="inlineStr"/>
      <c r="N159" s="47" t="n">
        <v>0.5667592592592593</v>
      </c>
    </row>
    <row r="160">
      <c r="A160" s="2" t="n">
        <v>46262</v>
      </c>
      <c r="B160" s="3" t="n">
        <v>0.6021875</v>
      </c>
      <c r="C160" s="19" t="inlineStr">
        <is>
          <t>Getirfinans</t>
        </is>
      </c>
      <c r="D160" t="inlineStr">
        <is>
          <t>DOLAR</t>
        </is>
      </c>
      <c r="E160" s="5" t="n">
        <v>47.848</v>
      </c>
      <c r="F160" s="5" t="n">
        <v>48.4681</v>
      </c>
      <c r="G160" s="5">
        <f>IF(OR(E160="",F160=""),"",F160-E160)</f>
        <v/>
      </c>
      <c r="H160" s="6">
        <f>IFERROR(G160/E160,"")</f>
        <v/>
      </c>
      <c r="I160" s="44" t="inlineStr">
        <is>
          <t>DOĞRU</t>
        </is>
      </c>
      <c r="J160" s="45" t="inlineStr">
        <is>
          <t>https://kur.doviz.com/serbest-piyasa/amerikan-dolari</t>
        </is>
      </c>
      <c r="K160" s="5" t="n">
        <v>0.6201</v>
      </c>
      <c r="L160" s="6" t="n">
        <v>0.013</v>
      </c>
      <c r="M160" s="46" t="inlineStr"/>
      <c r="N160" s="47" t="n">
        <v>0.6023379629629629</v>
      </c>
    </row>
    <row r="161">
      <c r="A161" s="2" t="n">
        <v>46262</v>
      </c>
      <c r="B161" s="3" t="n">
        <v>0.6194560185185185</v>
      </c>
      <c r="C161" s="19" t="inlineStr">
        <is>
          <t>Getirfinans</t>
        </is>
      </c>
      <c r="D161" t="inlineStr">
        <is>
          <t>DOLAR</t>
        </is>
      </c>
      <c r="E161" s="5" t="n">
        <v>47.8478</v>
      </c>
      <c r="F161" s="5" t="n">
        <v>48.4679</v>
      </c>
      <c r="G161" s="5">
        <f>IF(OR(E161="",F161=""),"",F161-E161)</f>
        <v/>
      </c>
      <c r="H161" s="6">
        <f>IFERROR(G161/E161,"")</f>
        <v/>
      </c>
      <c r="I161" s="44" t="inlineStr">
        <is>
          <t>DOĞRU</t>
        </is>
      </c>
      <c r="J161" s="45" t="inlineStr">
        <is>
          <t>https://kur.doviz.com/serbest-piyasa/amerikan-dolari</t>
        </is>
      </c>
      <c r="K161" s="5" t="n">
        <v>0.6201</v>
      </c>
      <c r="L161" s="6" t="n">
        <v>0.013</v>
      </c>
      <c r="M161" s="46" t="inlineStr"/>
      <c r="N161" s="47" t="n">
        <v>0.6196180555555556</v>
      </c>
    </row>
    <row r="162">
      <c r="A162" s="2" t="n">
        <v>46262</v>
      </c>
      <c r="B162" s="3" t="n">
        <v>0.5570949074074074</v>
      </c>
      <c r="C162" s="19" t="inlineStr">
        <is>
          <t>Getirfinans</t>
        </is>
      </c>
      <c r="D162" t="inlineStr">
        <is>
          <t>EURO</t>
        </is>
      </c>
      <c r="E162" s="5" t="n">
        <v>55.71</v>
      </c>
      <c r="F162" s="5" t="n">
        <v>56.3879</v>
      </c>
      <c r="G162" s="5">
        <f>IF(OR(E162="",F162=""),"",F162-E162)</f>
        <v/>
      </c>
      <c r="H162" s="6">
        <f>IFERROR(G162/E162,"")</f>
        <v/>
      </c>
      <c r="I162" s="44" t="inlineStr">
        <is>
          <t>DOĞRU</t>
        </is>
      </c>
      <c r="J162" s="45" t="inlineStr">
        <is>
          <t>https://kur.doviz.com/serbest-piyasa/euro</t>
        </is>
      </c>
      <c r="K162" s="5" t="n">
        <v>0.6778999999999999</v>
      </c>
      <c r="L162" s="6" t="n">
        <v>0.0122</v>
      </c>
      <c r="M162" s="46" t="inlineStr"/>
      <c r="N162" s="47" t="n">
        <v>0.5574074074074075</v>
      </c>
    </row>
    <row r="163">
      <c r="A163" s="2" t="n">
        <v>46262</v>
      </c>
      <c r="B163" s="3" t="n">
        <v>0.5665625</v>
      </c>
      <c r="C163" s="19" t="inlineStr">
        <is>
          <t>Getirfinans</t>
        </is>
      </c>
      <c r="D163" t="inlineStr">
        <is>
          <t>EURO</t>
        </is>
      </c>
      <c r="E163" s="5" t="n">
        <v>55.7338</v>
      </c>
      <c r="F163" s="5" t="n">
        <v>56.4115</v>
      </c>
      <c r="G163" s="5">
        <f>IF(OR(E163="",F163=""),"",F163-E163)</f>
        <v/>
      </c>
      <c r="H163" s="6">
        <f>IFERROR(G163/E163,"")</f>
        <v/>
      </c>
      <c r="I163" s="44" t="inlineStr">
        <is>
          <t>DOĞRU</t>
        </is>
      </c>
      <c r="J163" s="45" t="inlineStr">
        <is>
          <t>https://kur.doviz.com/serbest-piyasa/euro</t>
        </is>
      </c>
      <c r="K163" s="5" t="n">
        <v>0.6777</v>
      </c>
      <c r="L163" s="6" t="n">
        <v>0.0122</v>
      </c>
      <c r="M163" s="46" t="inlineStr"/>
      <c r="N163" s="47" t="n">
        <v>0.5669097222222222</v>
      </c>
    </row>
    <row r="164">
      <c r="A164" s="2" t="n">
        <v>46262</v>
      </c>
      <c r="B164" s="3" t="n">
        <v>0.6021875</v>
      </c>
      <c r="C164" s="19" t="inlineStr">
        <is>
          <t>Getirfinans</t>
        </is>
      </c>
      <c r="D164" t="inlineStr">
        <is>
          <t>EURO</t>
        </is>
      </c>
      <c r="E164" s="5" t="n">
        <v>55.7416</v>
      </c>
      <c r="F164" s="5" t="n">
        <v>56.4193</v>
      </c>
      <c r="G164" s="5">
        <f>IF(OR(E164="",F164=""),"",F164-E164)</f>
        <v/>
      </c>
      <c r="H164" s="6">
        <f>IFERROR(G164/E164,"")</f>
        <v/>
      </c>
      <c r="I164" s="44" t="inlineStr">
        <is>
          <t>DOĞRU</t>
        </is>
      </c>
      <c r="J164" s="45" t="inlineStr">
        <is>
          <t>https://kur.doviz.com/serbest-piyasa/euro</t>
        </is>
      </c>
      <c r="K164" s="5" t="n">
        <v>0.6777</v>
      </c>
      <c r="L164" s="6" t="n">
        <v>0.0122</v>
      </c>
      <c r="M164" s="46" t="inlineStr"/>
      <c r="N164" s="47" t="n">
        <v>0.6024884259259259</v>
      </c>
    </row>
    <row r="165">
      <c r="A165" s="2" t="n">
        <v>46262</v>
      </c>
      <c r="B165" s="3" t="n">
        <v>0.6194560185185185</v>
      </c>
      <c r="C165" s="19" t="inlineStr">
        <is>
          <t>Getirfinans</t>
        </is>
      </c>
      <c r="D165" t="inlineStr">
        <is>
          <t>EURO</t>
        </is>
      </c>
      <c r="E165" s="5" t="n">
        <v>55.7304</v>
      </c>
      <c r="F165" s="5" t="n">
        <v>56.4074</v>
      </c>
      <c r="G165" s="5">
        <f>IF(OR(E165="",F165=""),"",F165-E165)</f>
        <v/>
      </c>
      <c r="H165" s="6">
        <f>IFERROR(G165/E165,"")</f>
        <v/>
      </c>
      <c r="I165" s="44" t="inlineStr">
        <is>
          <t>DOĞRU</t>
        </is>
      </c>
      <c r="J165" s="45" t="inlineStr">
        <is>
          <t>https://kur.doviz.com/serbest-piyasa/euro</t>
        </is>
      </c>
      <c r="K165" s="5" t="n">
        <v>0.68</v>
      </c>
      <c r="L165" s="6" t="n">
        <v>0.0121</v>
      </c>
      <c r="M165" s="46" t="inlineStr"/>
      <c r="N165" s="47" t="n">
        <v>0.6196990740740741</v>
      </c>
    </row>
    <row r="166">
      <c r="A166" s="2" t="n">
        <v>46262</v>
      </c>
      <c r="B166" s="3" t="n">
        <v>0.5570949074074074</v>
      </c>
      <c r="C166" s="19" t="inlineStr">
        <is>
          <t>Getirfinans</t>
        </is>
      </c>
      <c r="D166" t="inlineStr">
        <is>
          <t>GRAM_ALTIN</t>
        </is>
      </c>
      <c r="E166" s="5" t="n">
        <v>7091.41</v>
      </c>
      <c r="F166" s="5" t="n">
        <v>7147.85</v>
      </c>
      <c r="G166" s="5">
        <f>IF(OR(E166="",F166=""),"",F166-E166)</f>
        <v/>
      </c>
      <c r="H166" s="6">
        <f>IFERROR(G166/E166,"")</f>
        <v/>
      </c>
      <c r="I166" s="44" t="inlineStr">
        <is>
          <t>DOĞRU</t>
        </is>
      </c>
      <c r="J166" s="45" t="inlineStr">
        <is>
          <t>https://altin.doviz.com/gram-altin</t>
        </is>
      </c>
      <c r="K166" s="5" t="n">
        <v>56.44</v>
      </c>
      <c r="L166" s="6" t="n">
        <v>0.008</v>
      </c>
      <c r="M166" s="46" t="inlineStr"/>
      <c r="N166" s="47" t="n">
        <v>0.5575578703703704</v>
      </c>
    </row>
    <row r="167">
      <c r="A167" s="2" t="n">
        <v>46262</v>
      </c>
      <c r="B167" s="3" t="n">
        <v>0.5665625</v>
      </c>
      <c r="C167" s="19" t="inlineStr">
        <is>
          <t>Getirfinans</t>
        </is>
      </c>
      <c r="D167" t="inlineStr">
        <is>
          <t>GRAM_ALTIN</t>
        </is>
      </c>
      <c r="E167" s="5" t="n">
        <v>7095.59</v>
      </c>
      <c r="F167" s="5" t="n">
        <v>7152.46</v>
      </c>
      <c r="G167" s="5">
        <f>IF(OR(E167="",F167=""),"",F167-E167)</f>
        <v/>
      </c>
      <c r="H167" s="6">
        <f>IFERROR(G167/E167,"")</f>
        <v/>
      </c>
      <c r="I167" s="44" t="inlineStr">
        <is>
          <t>DOĞRU</t>
        </is>
      </c>
      <c r="J167" s="45" t="inlineStr">
        <is>
          <t>https://altin.doviz.com/gram-altin</t>
        </is>
      </c>
      <c r="K167" s="5" t="n">
        <v>56.87</v>
      </c>
      <c r="L167" s="6" t="n">
        <v>0.008</v>
      </c>
      <c r="M167" s="46" t="inlineStr"/>
      <c r="N167" s="47" t="n">
        <v>0.5670601851851852</v>
      </c>
    </row>
    <row r="168">
      <c r="A168" s="2" t="n">
        <v>46262</v>
      </c>
      <c r="B168" s="3" t="n">
        <v>0.6021875</v>
      </c>
      <c r="C168" s="19" t="inlineStr">
        <is>
          <t>Getirfinans</t>
        </is>
      </c>
      <c r="D168" t="inlineStr">
        <is>
          <t>GRAM_ALTIN</t>
        </is>
      </c>
      <c r="E168" s="5" t="n">
        <v>7084.81</v>
      </c>
      <c r="F168" s="5" t="n">
        <v>7141.37</v>
      </c>
      <c r="G168" s="5">
        <f>IF(OR(E168="",F168=""),"",F168-E168)</f>
        <v/>
      </c>
      <c r="H168" s="6">
        <f>IFERROR(G168/E168,"")</f>
        <v/>
      </c>
      <c r="I168" s="44" t="inlineStr">
        <is>
          <t>DOĞRU</t>
        </is>
      </c>
      <c r="J168" s="45" t="inlineStr">
        <is>
          <t>https://altin.doviz.com/gram-altin</t>
        </is>
      </c>
      <c r="K168" s="5" t="n">
        <v>56.56</v>
      </c>
      <c r="L168" s="6" t="n">
        <v>0.008</v>
      </c>
      <c r="M168" s="46" t="inlineStr"/>
      <c r="N168" s="47" t="n">
        <v>0.6026388888888888</v>
      </c>
    </row>
    <row r="169">
      <c r="A169" s="2" t="n">
        <v>46262</v>
      </c>
      <c r="B169" s="3" t="n">
        <v>0.6194560185185185</v>
      </c>
      <c r="C169" s="19" t="inlineStr">
        <is>
          <t>Getirfinans</t>
        </is>
      </c>
      <c r="D169" t="inlineStr">
        <is>
          <t>GRAM_ALTIN</t>
        </is>
      </c>
      <c r="E169" s="5" t="n">
        <v>7075.97</v>
      </c>
      <c r="F169" s="5" t="n">
        <v>7132.57</v>
      </c>
      <c r="G169" s="5">
        <f>IF(OR(E169="",F169=""),"",F169-E169)</f>
        <v/>
      </c>
      <c r="H169" s="6">
        <f>IFERROR(G169/E169,"")</f>
        <v/>
      </c>
      <c r="I169" s="44" t="inlineStr">
        <is>
          <t>DOĞRU</t>
        </is>
      </c>
      <c r="J169" s="45" t="inlineStr">
        <is>
          <t>https://altin.doviz.com/gram-altin</t>
        </is>
      </c>
      <c r="K169" s="5" t="n">
        <v>56.6</v>
      </c>
      <c r="L169" s="6" t="n">
        <v>0.008</v>
      </c>
      <c r="M169" s="46" t="inlineStr"/>
      <c r="N169" s="47" t="n">
        <v>0.619849537037037</v>
      </c>
    </row>
    <row r="170">
      <c r="A170" s="2" t="n">
        <v>46262</v>
      </c>
      <c r="B170" s="3" t="n">
        <v>0.5570949074074074</v>
      </c>
      <c r="C170" s="20" t="inlineStr">
        <is>
          <t>Halkbank</t>
        </is>
      </c>
      <c r="D170" t="inlineStr">
        <is>
          <t>DOLAR</t>
        </is>
      </c>
      <c r="E170" s="5" t="n">
        <v>47.725</v>
      </c>
      <c r="F170" s="5" t="n">
        <v>48.705</v>
      </c>
      <c r="G170" s="5">
        <f>IF(OR(E170="",F170=""),"",F170-E170)</f>
        <v/>
      </c>
      <c r="H170" s="6">
        <f>IFERROR(G170/E170,"")</f>
        <v/>
      </c>
      <c r="I170" s="44" t="inlineStr">
        <is>
          <t>DOĞRU</t>
        </is>
      </c>
      <c r="J170" s="45" t="inlineStr">
        <is>
          <t>https://kur.doviz.com/serbest-piyasa/amerikan-dolari</t>
        </is>
      </c>
      <c r="K170" s="5" t="n">
        <v>0.98</v>
      </c>
      <c r="L170" s="6" t="n">
        <v>0.0205</v>
      </c>
      <c r="M170" s="46" t="inlineStr"/>
      <c r="N170" s="47" t="n">
        <v>0.5572569444444444</v>
      </c>
    </row>
    <row r="171">
      <c r="A171" s="2" t="n">
        <v>46262</v>
      </c>
      <c r="B171" s="3" t="n">
        <v>0.5665625</v>
      </c>
      <c r="C171" s="20" t="inlineStr">
        <is>
          <t>Halkbank</t>
        </is>
      </c>
      <c r="D171" t="inlineStr">
        <is>
          <t>DOLAR</t>
        </is>
      </c>
      <c r="E171" s="5" t="n">
        <v>47.7247</v>
      </c>
      <c r="F171" s="5" t="n">
        <v>48.7047</v>
      </c>
      <c r="G171" s="5">
        <f>IF(OR(E171="",F171=""),"",F171-E171)</f>
        <v/>
      </c>
      <c r="H171" s="6">
        <f>IFERROR(G171/E171,"")</f>
        <v/>
      </c>
      <c r="I171" s="44" t="inlineStr">
        <is>
          <t>DOĞRU</t>
        </is>
      </c>
      <c r="J171" s="45" t="inlineStr">
        <is>
          <t>https://kur.doviz.com/serbest-piyasa/amerikan-dolari</t>
        </is>
      </c>
      <c r="K171" s="5" t="n">
        <v>0.98</v>
      </c>
      <c r="L171" s="6" t="n">
        <v>0.0205</v>
      </c>
      <c r="M171" s="46" t="inlineStr"/>
      <c r="N171" s="47" t="n">
        <v>0.5667592592592593</v>
      </c>
    </row>
    <row r="172">
      <c r="A172" s="2" t="n">
        <v>46262</v>
      </c>
      <c r="B172" s="3" t="n">
        <v>0.6021875</v>
      </c>
      <c r="C172" s="20" t="inlineStr">
        <is>
          <t>Halkbank</t>
        </is>
      </c>
      <c r="D172" t="inlineStr">
        <is>
          <t>DOLAR</t>
        </is>
      </c>
      <c r="E172" s="5" t="n">
        <v>47.7247</v>
      </c>
      <c r="F172" s="5" t="n">
        <v>48.7047</v>
      </c>
      <c r="G172" s="5">
        <f>IF(OR(E172="",F172=""),"",F172-E172)</f>
        <v/>
      </c>
      <c r="H172" s="6">
        <f>IFERROR(G172/E172,"")</f>
        <v/>
      </c>
      <c r="I172" s="44" t="inlineStr">
        <is>
          <t>DOĞRU</t>
        </is>
      </c>
      <c r="J172" s="45" t="inlineStr">
        <is>
          <t>https://kur.doviz.com/serbest-piyasa/amerikan-dolari</t>
        </is>
      </c>
      <c r="K172" s="5" t="n">
        <v>0.98</v>
      </c>
      <c r="L172" s="6" t="n">
        <v>0.0205</v>
      </c>
      <c r="M172" s="46" t="inlineStr"/>
      <c r="N172" s="47" t="n">
        <v>0.6023379629629629</v>
      </c>
    </row>
    <row r="173">
      <c r="A173" s="2" t="n">
        <v>46262</v>
      </c>
      <c r="B173" s="3" t="n">
        <v>0.6194560185185185</v>
      </c>
      <c r="C173" s="20" t="inlineStr">
        <is>
          <t>Halkbank</t>
        </is>
      </c>
      <c r="D173" t="inlineStr">
        <is>
          <t>DOLAR</t>
        </is>
      </c>
      <c r="E173" s="5" t="n">
        <v>47.7247</v>
      </c>
      <c r="F173" s="5" t="n">
        <v>48.7047</v>
      </c>
      <c r="G173" s="5">
        <f>IF(OR(E173="",F173=""),"",F173-E173)</f>
        <v/>
      </c>
      <c r="H173" s="6">
        <f>IFERROR(G173/E173,"")</f>
        <v/>
      </c>
      <c r="I173" s="44" t="inlineStr">
        <is>
          <t>DOĞRU</t>
        </is>
      </c>
      <c r="J173" s="45" t="inlineStr">
        <is>
          <t>https://kur.doviz.com/serbest-piyasa/amerikan-dolari</t>
        </is>
      </c>
      <c r="K173" s="5" t="n">
        <v>0.98</v>
      </c>
      <c r="L173" s="6" t="n">
        <v>0.0205</v>
      </c>
      <c r="M173" s="46" t="inlineStr"/>
      <c r="N173" s="47" t="n">
        <v>0.6196180555555556</v>
      </c>
    </row>
    <row r="174">
      <c r="A174" s="2" t="n">
        <v>46262</v>
      </c>
      <c r="B174" s="3" t="n">
        <v>0.5570949074074074</v>
      </c>
      <c r="C174" s="20" t="inlineStr">
        <is>
          <t>Halkbank</t>
        </is>
      </c>
      <c r="D174" t="inlineStr">
        <is>
          <t>EURO</t>
        </is>
      </c>
      <c r="E174" s="5" t="n">
        <v>55.5614</v>
      </c>
      <c r="F174" s="5" t="n">
        <v>56.7024</v>
      </c>
      <c r="G174" s="5">
        <f>IF(OR(E174="",F174=""),"",F174-E174)</f>
        <v/>
      </c>
      <c r="H174" s="6">
        <f>IFERROR(G174/E174,"")</f>
        <v/>
      </c>
      <c r="I174" s="44" t="inlineStr">
        <is>
          <t>DOĞRU</t>
        </is>
      </c>
      <c r="J174" s="45" t="inlineStr">
        <is>
          <t>https://kur.doviz.com/serbest-piyasa/euro</t>
        </is>
      </c>
      <c r="K174" s="5" t="n">
        <v>1.141</v>
      </c>
      <c r="L174" s="6" t="n">
        <v>0.0205</v>
      </c>
      <c r="M174" s="46" t="inlineStr"/>
      <c r="N174" s="47" t="n">
        <v>0.5574074074074075</v>
      </c>
    </row>
    <row r="175">
      <c r="A175" s="2" t="n">
        <v>46262</v>
      </c>
      <c r="B175" s="3" t="n">
        <v>0.5665625</v>
      </c>
      <c r="C175" s="20" t="inlineStr">
        <is>
          <t>Halkbank</t>
        </is>
      </c>
      <c r="D175" t="inlineStr">
        <is>
          <t>EURO</t>
        </is>
      </c>
      <c r="E175" s="5" t="n">
        <v>55.5778</v>
      </c>
      <c r="F175" s="5" t="n">
        <v>56.7191</v>
      </c>
      <c r="G175" s="5">
        <f>IF(OR(E175="",F175=""),"",F175-E175)</f>
        <v/>
      </c>
      <c r="H175" s="6">
        <f>IFERROR(G175/E175,"")</f>
        <v/>
      </c>
      <c r="I175" s="44" t="inlineStr">
        <is>
          <t>DOĞRU</t>
        </is>
      </c>
      <c r="J175" s="45" t="inlineStr">
        <is>
          <t>https://kur.doviz.com/serbest-piyasa/euro</t>
        </is>
      </c>
      <c r="K175" s="5" t="n">
        <v>1.1413</v>
      </c>
      <c r="L175" s="6" t="n">
        <v>0.0205</v>
      </c>
      <c r="M175" s="46" t="inlineStr"/>
      <c r="N175" s="47" t="n">
        <v>0.5669097222222222</v>
      </c>
    </row>
    <row r="176">
      <c r="A176" s="2" t="n">
        <v>46262</v>
      </c>
      <c r="B176" s="3" t="n">
        <v>0.6021875</v>
      </c>
      <c r="C176" s="20" t="inlineStr">
        <is>
          <t>Halkbank</t>
        </is>
      </c>
      <c r="D176" t="inlineStr">
        <is>
          <t>EURO</t>
        </is>
      </c>
      <c r="E176" s="5" t="n">
        <v>55.585</v>
      </c>
      <c r="F176" s="5" t="n">
        <v>56.7264</v>
      </c>
      <c r="G176" s="5">
        <f>IF(OR(E176="",F176=""),"",F176-E176)</f>
        <v/>
      </c>
      <c r="H176" s="6">
        <f>IFERROR(G176/E176,"")</f>
        <v/>
      </c>
      <c r="I176" s="44" t="inlineStr">
        <is>
          <t>DOĞRU</t>
        </is>
      </c>
      <c r="J176" s="45" t="inlineStr">
        <is>
          <t>https://kur.doviz.com/serbest-piyasa/euro</t>
        </is>
      </c>
      <c r="K176" s="5" t="n">
        <v>1.1414</v>
      </c>
      <c r="L176" s="6" t="n">
        <v>0.0205</v>
      </c>
      <c r="M176" s="46" t="inlineStr"/>
      <c r="N176" s="47" t="n">
        <v>0.6024884259259259</v>
      </c>
    </row>
    <row r="177">
      <c r="A177" s="2" t="n">
        <v>46262</v>
      </c>
      <c r="B177" s="3" t="n">
        <v>0.6194560185185185</v>
      </c>
      <c r="C177" s="20" t="inlineStr">
        <is>
          <t>Halkbank</t>
        </is>
      </c>
      <c r="D177" t="inlineStr">
        <is>
          <t>EURO</t>
        </is>
      </c>
      <c r="E177" s="5" t="n">
        <v>55.5802</v>
      </c>
      <c r="F177" s="5" t="n">
        <v>56.7215</v>
      </c>
      <c r="G177" s="5">
        <f>IF(OR(E177="",F177=""),"",F177-E177)</f>
        <v/>
      </c>
      <c r="H177" s="6">
        <f>IFERROR(G177/E177,"")</f>
        <v/>
      </c>
      <c r="I177" s="44" t="inlineStr">
        <is>
          <t>DOĞRU</t>
        </is>
      </c>
      <c r="J177" s="45" t="inlineStr">
        <is>
          <t>https://kur.doviz.com/serbest-piyasa/euro</t>
        </is>
      </c>
      <c r="K177" s="5" t="n">
        <v>1.14</v>
      </c>
      <c r="L177" s="6" t="n">
        <v>0.0205</v>
      </c>
      <c r="M177" s="46" t="inlineStr"/>
      <c r="N177" s="47" t="n">
        <v>0.6196990740740741</v>
      </c>
    </row>
    <row r="178">
      <c r="A178" s="2" t="n">
        <v>46262</v>
      </c>
      <c r="B178" s="3" t="n">
        <v>0.5570949074074074</v>
      </c>
      <c r="C178" s="20" t="inlineStr">
        <is>
          <t>Halkbank</t>
        </is>
      </c>
      <c r="D178" t="inlineStr">
        <is>
          <t>GRAM_ALTIN</t>
        </is>
      </c>
      <c r="E178" s="5" t="n">
        <v>7021.06</v>
      </c>
      <c r="F178" s="5" t="n">
        <v>7237.17</v>
      </c>
      <c r="G178" s="5">
        <f>IF(OR(E178="",F178=""),"",F178-E178)</f>
        <v/>
      </c>
      <c r="H178" s="6">
        <f>IFERROR(G178/E178,"")</f>
        <v/>
      </c>
      <c r="I178" s="44" t="inlineStr">
        <is>
          <t>DOĞRU</t>
        </is>
      </c>
      <c r="J178" s="45" t="inlineStr">
        <is>
          <t>https://altin.doviz.com/gram-altin</t>
        </is>
      </c>
      <c r="K178" s="5" t="n">
        <v>216.11</v>
      </c>
      <c r="L178" s="6" t="n">
        <v>0.0308</v>
      </c>
      <c r="M178" s="46" t="inlineStr"/>
      <c r="N178" s="47" t="n">
        <v>0.5575578703703704</v>
      </c>
    </row>
    <row r="179">
      <c r="A179" s="2" t="n">
        <v>46262</v>
      </c>
      <c r="B179" s="3" t="n">
        <v>0.5665625</v>
      </c>
      <c r="C179" s="20" t="inlineStr">
        <is>
          <t>Halkbank</t>
        </is>
      </c>
      <c r="D179" t="inlineStr">
        <is>
          <t>GRAM_ALTIN</t>
        </is>
      </c>
      <c r="E179" s="5" t="n">
        <v>7022.64</v>
      </c>
      <c r="F179" s="5" t="n">
        <v>7239.64</v>
      </c>
      <c r="G179" s="5">
        <f>IF(OR(E179="",F179=""),"",F179-E179)</f>
        <v/>
      </c>
      <c r="H179" s="6">
        <f>IFERROR(G179/E179,"")</f>
        <v/>
      </c>
      <c r="I179" s="44" t="inlineStr">
        <is>
          <t>DOĞRU</t>
        </is>
      </c>
      <c r="J179" s="45" t="inlineStr">
        <is>
          <t>https://altin.doviz.com/gram-altin</t>
        </is>
      </c>
      <c r="K179" s="5" t="n">
        <v>217</v>
      </c>
      <c r="L179" s="6" t="n">
        <v>0.0309</v>
      </c>
      <c r="M179" s="46" t="inlineStr"/>
      <c r="N179" s="47" t="n">
        <v>0.5670601851851852</v>
      </c>
    </row>
    <row r="180">
      <c r="A180" s="2" t="n">
        <v>46262</v>
      </c>
      <c r="B180" s="3" t="n">
        <v>0.6021875</v>
      </c>
      <c r="C180" s="20" t="inlineStr">
        <is>
          <t>Halkbank</t>
        </is>
      </c>
      <c r="D180" t="inlineStr">
        <is>
          <t>GRAM_ALTIN</t>
        </is>
      </c>
      <c r="E180" s="5" t="n">
        <v>7012.35</v>
      </c>
      <c r="F180" s="5" t="n">
        <v>7228.21</v>
      </c>
      <c r="G180" s="5">
        <f>IF(OR(E180="",F180=""),"",F180-E180)</f>
        <v/>
      </c>
      <c r="H180" s="6">
        <f>IFERROR(G180/E180,"")</f>
        <v/>
      </c>
      <c r="I180" s="44" t="inlineStr">
        <is>
          <t>DOĞRU</t>
        </is>
      </c>
      <c r="J180" s="45" t="inlineStr">
        <is>
          <t>https://altin.doviz.com/gram-altin</t>
        </is>
      </c>
      <c r="K180" s="5" t="n">
        <v>215.86</v>
      </c>
      <c r="L180" s="6" t="n">
        <v>0.0308</v>
      </c>
      <c r="M180" s="46" t="inlineStr"/>
      <c r="N180" s="47" t="n">
        <v>0.6026388888888888</v>
      </c>
    </row>
    <row r="181">
      <c r="A181" s="2" t="n">
        <v>46262</v>
      </c>
      <c r="B181" s="3" t="n">
        <v>0.6194560185185185</v>
      </c>
      <c r="C181" s="20" t="inlineStr">
        <is>
          <t>Halkbank</t>
        </is>
      </c>
      <c r="D181" t="inlineStr">
        <is>
          <t>GRAM_ALTIN</t>
        </is>
      </c>
      <c r="E181" s="5" t="n">
        <v>7003.95</v>
      </c>
      <c r="F181" s="5" t="n">
        <v>7219.81</v>
      </c>
      <c r="G181" s="5">
        <f>IF(OR(E181="",F181=""),"",F181-E181)</f>
        <v/>
      </c>
      <c r="H181" s="6">
        <f>IFERROR(G181/E181,"")</f>
        <v/>
      </c>
      <c r="I181" s="44" t="inlineStr">
        <is>
          <t>DOĞRU</t>
        </is>
      </c>
      <c r="J181" s="45" t="inlineStr">
        <is>
          <t>https://altin.doviz.com/gram-altin</t>
        </is>
      </c>
      <c r="K181" s="5" t="n">
        <v>215.86</v>
      </c>
      <c r="L181" s="6" t="n">
        <v>0.0308</v>
      </c>
      <c r="M181" s="46" t="inlineStr"/>
      <c r="N181" s="47" t="n">
        <v>0.619849537037037</v>
      </c>
    </row>
    <row r="182">
      <c r="A182" s="2" t="n">
        <v>46262</v>
      </c>
      <c r="B182" s="3" t="n">
        <v>0.5570949074074074</v>
      </c>
      <c r="C182" s="21" t="inlineStr">
        <is>
          <t>Harem</t>
        </is>
      </c>
      <c r="D182" t="inlineStr">
        <is>
          <t>DOLAR</t>
        </is>
      </c>
      <c r="E182" s="5" t="n">
        <v>48.0408</v>
      </c>
      <c r="F182" s="5" t="n">
        <v>48.1248</v>
      </c>
      <c r="G182" s="5">
        <f>IF(OR(E182="",F182=""),"",F182-E182)</f>
        <v/>
      </c>
      <c r="H182" s="6">
        <f>IFERROR(G182/E182,"")</f>
        <v/>
      </c>
      <c r="I182" s="44" t="inlineStr">
        <is>
          <t>DOĞRU</t>
        </is>
      </c>
      <c r="J182" s="45" t="inlineStr">
        <is>
          <t>https://kur.doviz.com/serbest-piyasa/amerikan-dolari</t>
        </is>
      </c>
      <c r="K182" s="5" t="n">
        <v>0.08400000000000001</v>
      </c>
      <c r="L182" s="6" t="n">
        <v>0.0017</v>
      </c>
      <c r="M182" s="46" t="inlineStr"/>
      <c r="N182" s="47" t="n">
        <v>0.5572569444444444</v>
      </c>
    </row>
    <row r="183">
      <c r="A183" s="2" t="n">
        <v>46262</v>
      </c>
      <c r="B183" s="3" t="n">
        <v>0.5665625</v>
      </c>
      <c r="C183" s="21" t="inlineStr">
        <is>
          <t>Harem</t>
        </is>
      </c>
      <c r="D183" t="inlineStr">
        <is>
          <t>DOLAR</t>
        </is>
      </c>
      <c r="E183" s="5" t="n">
        <v>48.04</v>
      </c>
      <c r="F183" s="5" t="n">
        <v>48.125</v>
      </c>
      <c r="G183" s="5">
        <f>IF(OR(E183="",F183=""),"",F183-E183)</f>
        <v/>
      </c>
      <c r="H183" s="6">
        <f>IFERROR(G183/E183,"")</f>
        <v/>
      </c>
      <c r="I183" s="44" t="inlineStr">
        <is>
          <t>DOĞRU</t>
        </is>
      </c>
      <c r="J183" s="45" t="inlineStr">
        <is>
          <t>https://kur.doviz.com/serbest-piyasa/amerikan-dolari</t>
        </is>
      </c>
      <c r="K183" s="5" t="n">
        <v>0.08500000000000001</v>
      </c>
      <c r="L183" s="6" t="n">
        <v>0.0018</v>
      </c>
      <c r="M183" s="46" t="inlineStr"/>
      <c r="N183" s="47" t="n">
        <v>0.5667592592592593</v>
      </c>
    </row>
    <row r="184">
      <c r="A184" s="2" t="n">
        <v>46262</v>
      </c>
      <c r="B184" s="3" t="n">
        <v>0.6021875</v>
      </c>
      <c r="C184" s="21" t="inlineStr">
        <is>
          <t>Harem</t>
        </is>
      </c>
      <c r="D184" t="inlineStr">
        <is>
          <t>DOLAR</t>
        </is>
      </c>
      <c r="E184" s="5" t="n">
        <v>48.0475</v>
      </c>
      <c r="F184" s="5" t="n">
        <v>48.1246</v>
      </c>
      <c r="G184" s="5">
        <f>IF(OR(E184="",F184=""),"",F184-E184)</f>
        <v/>
      </c>
      <c r="H184" s="6">
        <f>IFERROR(G184/E184,"")</f>
        <v/>
      </c>
      <c r="I184" s="44" t="inlineStr">
        <is>
          <t>DOĞRU</t>
        </is>
      </c>
      <c r="J184" s="45" t="inlineStr">
        <is>
          <t>https://kur.doviz.com/serbest-piyasa/amerikan-dolari</t>
        </is>
      </c>
      <c r="K184" s="5" t="n">
        <v>0.0771</v>
      </c>
      <c r="L184" s="6" t="n">
        <v>0.0016</v>
      </c>
      <c r="M184" s="46" t="inlineStr"/>
      <c r="N184" s="47" t="n">
        <v>0.6023379629629629</v>
      </c>
    </row>
    <row r="185">
      <c r="A185" s="2" t="n">
        <v>46262</v>
      </c>
      <c r="B185" s="3" t="n">
        <v>0.6194560185185185</v>
      </c>
      <c r="C185" s="21" t="inlineStr">
        <is>
          <t>Harem</t>
        </is>
      </c>
      <c r="D185" t="inlineStr">
        <is>
          <t>DOLAR</t>
        </is>
      </c>
      <c r="E185" s="5" t="n">
        <v>48.057</v>
      </c>
      <c r="F185" s="5" t="n">
        <v>48.124</v>
      </c>
      <c r="G185" s="5">
        <f>IF(OR(E185="",F185=""),"",F185-E185)</f>
        <v/>
      </c>
      <c r="H185" s="6">
        <f>IFERROR(G185/E185,"")</f>
        <v/>
      </c>
      <c r="I185" s="44" t="inlineStr">
        <is>
          <t>DOĞRU</t>
        </is>
      </c>
      <c r="J185" s="45" t="inlineStr">
        <is>
          <t>https://kur.doviz.com/serbest-piyasa/amerikan-dolari</t>
        </is>
      </c>
      <c r="K185" s="5" t="n">
        <v>0.067</v>
      </c>
      <c r="L185" s="6" t="n">
        <v>0.0014</v>
      </c>
      <c r="M185" s="46" t="inlineStr"/>
      <c r="N185" s="47" t="n">
        <v>0.6196180555555556</v>
      </c>
    </row>
    <row r="186">
      <c r="A186" s="2" t="n">
        <v>46262</v>
      </c>
      <c r="B186" s="3" t="n">
        <v>0.5570949074074074</v>
      </c>
      <c r="C186" s="21" t="inlineStr">
        <is>
          <t>Harem</t>
        </is>
      </c>
      <c r="D186" t="inlineStr">
        <is>
          <t>EURO</t>
        </is>
      </c>
      <c r="E186" s="5" t="n">
        <v>55.791</v>
      </c>
      <c r="F186" s="5" t="n">
        <v>55.979</v>
      </c>
      <c r="G186" s="5">
        <f>IF(OR(E186="",F186=""),"",F186-E186)</f>
        <v/>
      </c>
      <c r="H186" s="6">
        <f>IFERROR(G186/E186,"")</f>
        <v/>
      </c>
      <c r="I186" s="44" t="inlineStr">
        <is>
          <t>DOĞRU</t>
        </is>
      </c>
      <c r="J186" s="45" t="inlineStr">
        <is>
          <t>https://kur.doviz.com/serbest-piyasa/euro</t>
        </is>
      </c>
      <c r="K186" s="5" t="n">
        <v>0.188</v>
      </c>
      <c r="L186" s="6" t="n">
        <v>0.0034</v>
      </c>
      <c r="M186" s="46" t="inlineStr"/>
      <c r="N186" s="47" t="n">
        <v>0.5574074074074075</v>
      </c>
    </row>
    <row r="187">
      <c r="A187" s="2" t="n">
        <v>46262</v>
      </c>
      <c r="B187" s="3" t="n">
        <v>0.5665625</v>
      </c>
      <c r="C187" s="21" t="inlineStr">
        <is>
          <t>Harem</t>
        </is>
      </c>
      <c r="D187" t="inlineStr">
        <is>
          <t>EURO</t>
        </is>
      </c>
      <c r="E187" s="5" t="n">
        <v>55.816</v>
      </c>
      <c r="F187" s="5" t="n">
        <v>56.003</v>
      </c>
      <c r="G187" s="5">
        <f>IF(OR(E187="",F187=""),"",F187-E187)</f>
        <v/>
      </c>
      <c r="H187" s="6">
        <f>IFERROR(G187/E187,"")</f>
        <v/>
      </c>
      <c r="I187" s="44" t="inlineStr">
        <is>
          <t>DOĞRU</t>
        </is>
      </c>
      <c r="J187" s="45" t="inlineStr">
        <is>
          <t>https://kur.doviz.com/serbest-piyasa/euro</t>
        </is>
      </c>
      <c r="K187" s="5" t="n">
        <v>0.187</v>
      </c>
      <c r="L187" s="6" t="n">
        <v>0.0034</v>
      </c>
      <c r="M187" s="46" t="inlineStr"/>
      <c r="N187" s="47" t="n">
        <v>0.5669097222222222</v>
      </c>
    </row>
    <row r="188">
      <c r="A188" s="2" t="n">
        <v>46262</v>
      </c>
      <c r="B188" s="3" t="n">
        <v>0.6021875</v>
      </c>
      <c r="C188" s="21" t="inlineStr">
        <is>
          <t>Harem</t>
        </is>
      </c>
      <c r="D188" t="inlineStr">
        <is>
          <t>EURO</t>
        </is>
      </c>
      <c r="E188" s="5" t="n">
        <v>55.834</v>
      </c>
      <c r="F188" s="5" t="n">
        <v>56.013</v>
      </c>
      <c r="G188" s="5">
        <f>IF(OR(E188="",F188=""),"",F188-E188)</f>
        <v/>
      </c>
      <c r="H188" s="6">
        <f>IFERROR(G188/E188,"")</f>
        <v/>
      </c>
      <c r="I188" s="44" t="inlineStr">
        <is>
          <t>DOĞRU</t>
        </is>
      </c>
      <c r="J188" s="45" t="inlineStr">
        <is>
          <t>https://kur.doviz.com/serbest-piyasa/euro</t>
        </is>
      </c>
      <c r="K188" s="5" t="n">
        <v>0.179</v>
      </c>
      <c r="L188" s="6" t="n">
        <v>0.0032</v>
      </c>
      <c r="M188" s="46" t="inlineStr"/>
      <c r="N188" s="47" t="n">
        <v>0.6024884259259259</v>
      </c>
    </row>
    <row r="189">
      <c r="A189" s="2" t="n">
        <v>46262</v>
      </c>
      <c r="B189" s="3" t="n">
        <v>0.6194560185185185</v>
      </c>
      <c r="C189" s="21" t="inlineStr">
        <is>
          <t>Harem</t>
        </is>
      </c>
      <c r="D189" t="inlineStr">
        <is>
          <t>EURO</t>
        </is>
      </c>
      <c r="E189" s="5" t="n">
        <v>55.833</v>
      </c>
      <c r="F189" s="5" t="n">
        <v>56</v>
      </c>
      <c r="G189" s="5">
        <f>IF(OR(E189="",F189=""),"",F189-E189)</f>
        <v/>
      </c>
      <c r="H189" s="6">
        <f>IFERROR(G189/E189,"")</f>
        <v/>
      </c>
      <c r="I189" s="44" t="inlineStr">
        <is>
          <t>DOĞRU</t>
        </is>
      </c>
      <c r="J189" s="45" t="inlineStr">
        <is>
          <t>https://kur.doviz.com/serbest-piyasa/euro</t>
        </is>
      </c>
      <c r="K189" s="5" t="n">
        <v>0.17</v>
      </c>
      <c r="L189" s="6" t="n">
        <v>0.003</v>
      </c>
      <c r="M189" s="46" t="inlineStr"/>
      <c r="N189" s="47" t="n">
        <v>0.6196990740740741</v>
      </c>
    </row>
    <row r="190">
      <c r="A190" s="2" t="n">
        <v>46262</v>
      </c>
      <c r="B190" s="3" t="n">
        <v>0.5570949074074074</v>
      </c>
      <c r="C190" s="21" t="inlineStr">
        <is>
          <t>Harem</t>
        </is>
      </c>
      <c r="D190" t="inlineStr">
        <is>
          <t>GRAM_ALTIN</t>
        </is>
      </c>
      <c r="E190" s="5" t="n">
        <v>7036.2</v>
      </c>
      <c r="F190" s="5" t="n">
        <v>7110.18</v>
      </c>
      <c r="G190" s="5">
        <f>IF(OR(E190="",F190=""),"",F190-E190)</f>
        <v/>
      </c>
      <c r="H190" s="6">
        <f>IFERROR(G190/E190,"")</f>
        <v/>
      </c>
      <c r="I190" s="44" t="inlineStr">
        <is>
          <t>DOĞRU</t>
        </is>
      </c>
      <c r="J190" s="45" t="inlineStr">
        <is>
          <t>https://altin.doviz.com/gram-altin</t>
        </is>
      </c>
      <c r="K190" s="5" t="n">
        <v>73.98</v>
      </c>
      <c r="L190" s="6" t="n">
        <v>0.0105</v>
      </c>
      <c r="M190" s="46" t="inlineStr"/>
      <c r="N190" s="47" t="n">
        <v>0.5575578703703704</v>
      </c>
    </row>
    <row r="191">
      <c r="A191" s="2" t="n">
        <v>46262</v>
      </c>
      <c r="B191" s="3" t="n">
        <v>0.5665625</v>
      </c>
      <c r="C191" s="21" t="inlineStr">
        <is>
          <t>Harem</t>
        </is>
      </c>
      <c r="D191" t="inlineStr">
        <is>
          <t>GRAM_ALTIN</t>
        </is>
      </c>
      <c r="E191" s="5" t="n">
        <v>7040.97</v>
      </c>
      <c r="F191" s="5" t="n">
        <v>7115</v>
      </c>
      <c r="G191" s="5">
        <f>IF(OR(E191="",F191=""),"",F191-E191)</f>
        <v/>
      </c>
      <c r="H191" s="6">
        <f>IFERROR(G191/E191,"")</f>
        <v/>
      </c>
      <c r="I191" s="44" t="inlineStr">
        <is>
          <t>DOĞRU</t>
        </is>
      </c>
      <c r="J191" s="45" t="inlineStr">
        <is>
          <t>https://altin.doviz.com/gram-altin</t>
        </is>
      </c>
      <c r="K191" s="5" t="n">
        <v>74.03</v>
      </c>
      <c r="L191" s="6" t="n">
        <v>0.0105</v>
      </c>
      <c r="M191" s="46" t="inlineStr"/>
      <c r="N191" s="47" t="n">
        <v>0.5670601851851852</v>
      </c>
    </row>
    <row r="192">
      <c r="A192" s="2" t="n">
        <v>46262</v>
      </c>
      <c r="B192" s="3" t="n">
        <v>0.6021875</v>
      </c>
      <c r="C192" s="21" t="inlineStr">
        <is>
          <t>Harem</t>
        </is>
      </c>
      <c r="D192" t="inlineStr">
        <is>
          <t>GRAM_ALTIN</t>
        </is>
      </c>
      <c r="E192" s="5" t="n">
        <v>7034.6</v>
      </c>
      <c r="F192" s="5" t="n">
        <v>7107.59</v>
      </c>
      <c r="G192" s="5">
        <f>IF(OR(E192="",F192=""),"",F192-E192)</f>
        <v/>
      </c>
      <c r="H192" s="6">
        <f>IFERROR(G192/E192,"")</f>
        <v/>
      </c>
      <c r="I192" s="44" t="inlineStr">
        <is>
          <t>DOĞRU</t>
        </is>
      </c>
      <c r="J192" s="45" t="inlineStr">
        <is>
          <t>https://altin.doviz.com/gram-altin</t>
        </is>
      </c>
      <c r="K192" s="5" t="n">
        <v>72.98999999999999</v>
      </c>
      <c r="L192" s="6" t="n">
        <v>0.0104</v>
      </c>
      <c r="M192" s="46" t="inlineStr"/>
      <c r="N192" s="47" t="n">
        <v>0.6026388888888888</v>
      </c>
    </row>
    <row r="193">
      <c r="A193" s="2" t="n">
        <v>46262</v>
      </c>
      <c r="B193" s="3" t="n">
        <v>0.6194560185185185</v>
      </c>
      <c r="C193" s="21" t="inlineStr">
        <is>
          <t>Harem</t>
        </is>
      </c>
      <c r="D193" t="inlineStr">
        <is>
          <t>GRAM_ALTIN</t>
        </is>
      </c>
      <c r="E193" s="5" t="n">
        <v>7026.56</v>
      </c>
      <c r="F193" s="5" t="n">
        <v>7097.95</v>
      </c>
      <c r="G193" s="5">
        <f>IF(OR(E193="",F193=""),"",F193-E193)</f>
        <v/>
      </c>
      <c r="H193" s="6">
        <f>IFERROR(G193/E193,"")</f>
        <v/>
      </c>
      <c r="I193" s="44" t="inlineStr">
        <is>
          <t>DOĞRU</t>
        </is>
      </c>
      <c r="J193" s="45" t="inlineStr">
        <is>
          <t>https://altin.doviz.com/gram-altin</t>
        </is>
      </c>
      <c r="K193" s="5" t="n">
        <v>71.39</v>
      </c>
      <c r="L193" s="6" t="n">
        <v>0.0102</v>
      </c>
      <c r="M193" s="46" t="inlineStr"/>
      <c r="N193" s="47" t="n">
        <v>0.619849537037037</v>
      </c>
    </row>
    <row r="194">
      <c r="A194" s="2" t="n">
        <v>46262</v>
      </c>
      <c r="B194" s="3" t="n">
        <v>0.5570949074074074</v>
      </c>
      <c r="C194" s="22" t="inlineStr">
        <is>
          <t>Hayat Finans</t>
        </is>
      </c>
      <c r="D194" t="inlineStr">
        <is>
          <t>DOLAR</t>
        </is>
      </c>
      <c r="E194" s="5" t="n">
        <v>48.0758</v>
      </c>
      <c r="F194" s="5" t="n">
        <v>48.3543</v>
      </c>
      <c r="G194" s="5">
        <f>IF(OR(E194="",F194=""),"",F194-E194)</f>
        <v/>
      </c>
      <c r="H194" s="6">
        <f>IFERROR(G194/E194,"")</f>
        <v/>
      </c>
      <c r="I194" s="44" t="inlineStr">
        <is>
          <t>DOĞRU</t>
        </is>
      </c>
      <c r="J194" s="45" t="inlineStr">
        <is>
          <t>https://kur.doviz.com/serbest-piyasa/amerikan-dolari</t>
        </is>
      </c>
      <c r="K194" s="5" t="n">
        <v>0.2784</v>
      </c>
      <c r="L194" s="6" t="n">
        <v>0.0058</v>
      </c>
      <c r="M194" s="46" t="inlineStr"/>
      <c r="N194" s="47" t="n">
        <v>0.5572569444444444</v>
      </c>
    </row>
    <row r="195">
      <c r="A195" s="2" t="n">
        <v>46262</v>
      </c>
      <c r="B195" s="3" t="n">
        <v>0.5665625</v>
      </c>
      <c r="C195" s="22" t="inlineStr">
        <is>
          <t>Hayat Finans</t>
        </is>
      </c>
      <c r="D195" t="inlineStr">
        <is>
          <t>DOLAR</t>
        </is>
      </c>
      <c r="E195" s="5" t="n">
        <v>48.0758</v>
      </c>
      <c r="F195" s="5" t="n">
        <v>48.3544</v>
      </c>
      <c r="G195" s="5">
        <f>IF(OR(E195="",F195=""),"",F195-E195)</f>
        <v/>
      </c>
      <c r="H195" s="6">
        <f>IFERROR(G195/E195,"")</f>
        <v/>
      </c>
      <c r="I195" s="44" t="inlineStr">
        <is>
          <t>DOĞRU</t>
        </is>
      </c>
      <c r="J195" s="45" t="inlineStr">
        <is>
          <t>https://kur.doviz.com/serbest-piyasa/amerikan-dolari</t>
        </is>
      </c>
      <c r="K195" s="5" t="n">
        <v>0.2786</v>
      </c>
      <c r="L195" s="6" t="n">
        <v>0.0058</v>
      </c>
      <c r="M195" s="46" t="inlineStr"/>
      <c r="N195" s="47" t="n">
        <v>0.5667592592592593</v>
      </c>
    </row>
    <row r="196">
      <c r="A196" s="2" t="n">
        <v>46262</v>
      </c>
      <c r="B196" s="3" t="n">
        <v>0.6021875</v>
      </c>
      <c r="C196" s="22" t="inlineStr">
        <is>
          <t>Hayat Finans</t>
        </is>
      </c>
      <c r="D196" t="inlineStr">
        <is>
          <t>DOLAR</t>
        </is>
      </c>
      <c r="E196" s="5" t="n">
        <v>48.0756</v>
      </c>
      <c r="F196" s="5" t="n">
        <v>48.3544</v>
      </c>
      <c r="G196" s="5">
        <f>IF(OR(E196="",F196=""),"",F196-E196)</f>
        <v/>
      </c>
      <c r="H196" s="6">
        <f>IFERROR(G196/E196,"")</f>
        <v/>
      </c>
      <c r="I196" s="44" t="inlineStr">
        <is>
          <t>DOĞRU</t>
        </is>
      </c>
      <c r="J196" s="45" t="inlineStr">
        <is>
          <t>https://kur.doviz.com/serbest-piyasa/amerikan-dolari</t>
        </is>
      </c>
      <c r="K196" s="5" t="n">
        <v>0.2788</v>
      </c>
      <c r="L196" s="6" t="n">
        <v>0.0058</v>
      </c>
      <c r="M196" s="46" t="inlineStr"/>
      <c r="N196" s="47" t="n">
        <v>0.6023379629629629</v>
      </c>
    </row>
    <row r="197">
      <c r="A197" s="2" t="n">
        <v>46262</v>
      </c>
      <c r="B197" s="3" t="n">
        <v>0.6194560185185185</v>
      </c>
      <c r="C197" s="22" t="inlineStr">
        <is>
          <t>Hayat Finans</t>
        </is>
      </c>
      <c r="D197" t="inlineStr">
        <is>
          <t>DOLAR</t>
        </is>
      </c>
      <c r="E197" s="5" t="n">
        <v>48.0756</v>
      </c>
      <c r="F197" s="5" t="n">
        <v>48.3541</v>
      </c>
      <c r="G197" s="5">
        <f>IF(OR(E197="",F197=""),"",F197-E197)</f>
        <v/>
      </c>
      <c r="H197" s="6">
        <f>IFERROR(G197/E197,"")</f>
        <v/>
      </c>
      <c r="I197" s="44" t="inlineStr">
        <is>
          <t>DOĞRU</t>
        </is>
      </c>
      <c r="J197" s="45" t="inlineStr">
        <is>
          <t>https://kur.doviz.com/serbest-piyasa/amerikan-dolari</t>
        </is>
      </c>
      <c r="K197" s="5" t="n">
        <v>0.2784</v>
      </c>
      <c r="L197" s="6" t="n">
        <v>0.0058</v>
      </c>
      <c r="M197" s="46" t="inlineStr"/>
      <c r="N197" s="47" t="n">
        <v>0.6196180555555556</v>
      </c>
    </row>
    <row r="198">
      <c r="A198" s="2" t="n">
        <v>46262</v>
      </c>
      <c r="B198" s="3" t="n">
        <v>0.5570949074074074</v>
      </c>
      <c r="C198" s="22" t="inlineStr">
        <is>
          <t>Hayat Finans</t>
        </is>
      </c>
      <c r="D198" t="inlineStr">
        <is>
          <t>EURO</t>
        </is>
      </c>
      <c r="E198" s="5" t="n">
        <v>55.9603</v>
      </c>
      <c r="F198" s="5" t="n">
        <v>56.2846</v>
      </c>
      <c r="G198" s="5">
        <f>IF(OR(E198="",F198=""),"",F198-E198)</f>
        <v/>
      </c>
      <c r="H198" s="6">
        <f>IFERROR(G198/E198,"")</f>
        <v/>
      </c>
      <c r="I198" s="44" t="inlineStr">
        <is>
          <t>DOĞRU</t>
        </is>
      </c>
      <c r="J198" s="45" t="inlineStr">
        <is>
          <t>https://kur.doviz.com/serbest-piyasa/euro</t>
        </is>
      </c>
      <c r="K198" s="5" t="n">
        <v>0.3243</v>
      </c>
      <c r="L198" s="6" t="n">
        <v>0.0058</v>
      </c>
      <c r="M198" s="46" t="inlineStr"/>
      <c r="N198" s="47" t="n">
        <v>0.5574074074074075</v>
      </c>
    </row>
    <row r="199">
      <c r="A199" s="2" t="n">
        <v>46262</v>
      </c>
      <c r="B199" s="3" t="n">
        <v>0.5665625</v>
      </c>
      <c r="C199" s="22" t="inlineStr">
        <is>
          <t>Hayat Finans</t>
        </is>
      </c>
      <c r="D199" t="inlineStr">
        <is>
          <t>EURO</t>
        </is>
      </c>
      <c r="E199" s="5" t="n">
        <v>55.9867</v>
      </c>
      <c r="F199" s="5" t="n">
        <v>56.3113</v>
      </c>
      <c r="G199" s="5">
        <f>IF(OR(E199="",F199=""),"",F199-E199)</f>
        <v/>
      </c>
      <c r="H199" s="6">
        <f>IFERROR(G199/E199,"")</f>
        <v/>
      </c>
      <c r="I199" s="44" t="inlineStr">
        <is>
          <t>DOĞRU</t>
        </is>
      </c>
      <c r="J199" s="45" t="inlineStr">
        <is>
          <t>https://kur.doviz.com/serbest-piyasa/euro</t>
        </is>
      </c>
      <c r="K199" s="5" t="n">
        <v>0.3245</v>
      </c>
      <c r="L199" s="6" t="n">
        <v>0.0058</v>
      </c>
      <c r="M199" s="46" t="inlineStr"/>
      <c r="N199" s="47" t="n">
        <v>0.5669097222222222</v>
      </c>
    </row>
    <row r="200">
      <c r="A200" s="2" t="n">
        <v>46262</v>
      </c>
      <c r="B200" s="3" t="n">
        <v>0.6021875</v>
      </c>
      <c r="C200" s="22" t="inlineStr">
        <is>
          <t>Hayat Finans</t>
        </is>
      </c>
      <c r="D200" t="inlineStr">
        <is>
          <t>EURO</t>
        </is>
      </c>
      <c r="E200" s="5" t="n">
        <v>55.9937</v>
      </c>
      <c r="F200" s="5" t="n">
        <v>56.3185</v>
      </c>
      <c r="G200" s="5">
        <f>IF(OR(E200="",F200=""),"",F200-E200)</f>
        <v/>
      </c>
      <c r="H200" s="6">
        <f>IFERROR(G200/E200,"")</f>
        <v/>
      </c>
      <c r="I200" s="44" t="inlineStr">
        <is>
          <t>DOĞRU</t>
        </is>
      </c>
      <c r="J200" s="45" t="inlineStr">
        <is>
          <t>https://kur.doviz.com/serbest-piyasa/euro</t>
        </is>
      </c>
      <c r="K200" s="5" t="n">
        <v>0.3248</v>
      </c>
      <c r="L200" s="6" t="n">
        <v>0.0058</v>
      </c>
      <c r="M200" s="46" t="inlineStr"/>
      <c r="N200" s="47" t="n">
        <v>0.6024884259259259</v>
      </c>
    </row>
    <row r="201">
      <c r="A201" s="2" t="n">
        <v>46262</v>
      </c>
      <c r="B201" s="3" t="n">
        <v>0.6194560185185185</v>
      </c>
      <c r="C201" s="22" t="inlineStr">
        <is>
          <t>Hayat Finans</t>
        </is>
      </c>
      <c r="D201" t="inlineStr">
        <is>
          <t>EURO</t>
        </is>
      </c>
      <c r="E201" s="5" t="n">
        <v>55.984</v>
      </c>
      <c r="F201" s="5" t="n">
        <v>56.3084</v>
      </c>
      <c r="G201" s="5">
        <f>IF(OR(E201="",F201=""),"",F201-E201)</f>
        <v/>
      </c>
      <c r="H201" s="6">
        <f>IFERROR(G201/E201,"")</f>
        <v/>
      </c>
      <c r="I201" s="44" t="inlineStr">
        <is>
          <t>DOĞRU</t>
        </is>
      </c>
      <c r="J201" s="45" t="inlineStr">
        <is>
          <t>https://kur.doviz.com/serbest-piyasa/euro</t>
        </is>
      </c>
      <c r="K201" s="5" t="n">
        <v>0.32</v>
      </c>
      <c r="L201" s="6" t="n">
        <v>0.0058</v>
      </c>
      <c r="M201" s="46" t="inlineStr"/>
      <c r="N201" s="47" t="n">
        <v>0.6196990740740741</v>
      </c>
    </row>
    <row r="202">
      <c r="A202" s="2" t="n">
        <v>46262</v>
      </c>
      <c r="B202" s="3" t="n">
        <v>0.5570949074074074</v>
      </c>
      <c r="C202" s="22" t="inlineStr">
        <is>
          <t>Hayat Finans</t>
        </is>
      </c>
      <c r="D202" t="inlineStr">
        <is>
          <t>GRAM_ALTIN</t>
        </is>
      </c>
      <c r="E202" s="5" t="n">
        <v>7063.03</v>
      </c>
      <c r="F202" s="5" t="n">
        <v>7202.62</v>
      </c>
      <c r="G202" s="5">
        <f>IF(OR(E202="",F202=""),"",F202-E202)</f>
        <v/>
      </c>
      <c r="H202" s="6">
        <f>IFERROR(G202/E202,"")</f>
        <v/>
      </c>
      <c r="I202" s="44" t="inlineStr">
        <is>
          <t>DOĞRU</t>
        </is>
      </c>
      <c r="J202" s="45" t="inlineStr">
        <is>
          <t>https://altin.doviz.com/gram-altin</t>
        </is>
      </c>
      <c r="K202" s="5" t="n">
        <v>139.59</v>
      </c>
      <c r="L202" s="6" t="n">
        <v>0.0198</v>
      </c>
      <c r="M202" s="46" t="inlineStr"/>
      <c r="N202" s="47" t="n">
        <v>0.5575578703703704</v>
      </c>
    </row>
    <row r="203">
      <c r="A203" s="2" t="n">
        <v>46262</v>
      </c>
      <c r="B203" s="3" t="n">
        <v>0.5665625</v>
      </c>
      <c r="C203" s="22" t="inlineStr">
        <is>
          <t>Hayat Finans</t>
        </is>
      </c>
      <c r="D203" t="inlineStr">
        <is>
          <t>GRAM_ALTIN</t>
        </is>
      </c>
      <c r="E203" s="5" t="n">
        <v>7067.85</v>
      </c>
      <c r="F203" s="5" t="n">
        <v>7207.59</v>
      </c>
      <c r="G203" s="5">
        <f>IF(OR(E203="",F203=""),"",F203-E203)</f>
        <v/>
      </c>
      <c r="H203" s="6">
        <f>IFERROR(G203/E203,"")</f>
        <v/>
      </c>
      <c r="I203" s="44" t="inlineStr">
        <is>
          <t>DOĞRU</t>
        </is>
      </c>
      <c r="J203" s="45" t="inlineStr">
        <is>
          <t>https://altin.doviz.com/gram-altin</t>
        </is>
      </c>
      <c r="K203" s="5" t="n">
        <v>139.74</v>
      </c>
      <c r="L203" s="6" t="n">
        <v>0.0198</v>
      </c>
      <c r="M203" s="46" t="inlineStr"/>
      <c r="N203" s="47" t="n">
        <v>0.5670601851851852</v>
      </c>
    </row>
    <row r="204">
      <c r="A204" s="2" t="n">
        <v>46262</v>
      </c>
      <c r="B204" s="3" t="n">
        <v>0.6021875</v>
      </c>
      <c r="C204" s="22" t="inlineStr">
        <is>
          <t>Hayat Finans</t>
        </is>
      </c>
      <c r="D204" t="inlineStr">
        <is>
          <t>GRAM_ALTIN</t>
        </is>
      </c>
      <c r="E204" s="5" t="n">
        <v>7056.76</v>
      </c>
      <c r="F204" s="5" t="n">
        <v>7196.2</v>
      </c>
      <c r="G204" s="5">
        <f>IF(OR(E204="",F204=""),"",F204-E204)</f>
        <v/>
      </c>
      <c r="H204" s="6">
        <f>IFERROR(G204/E204,"")</f>
        <v/>
      </c>
      <c r="I204" s="44" t="inlineStr">
        <is>
          <t>DOĞRU</t>
        </is>
      </c>
      <c r="J204" s="45" t="inlineStr">
        <is>
          <t>https://altin.doviz.com/gram-altin</t>
        </is>
      </c>
      <c r="K204" s="5" t="n">
        <v>139.45</v>
      </c>
      <c r="L204" s="6" t="n">
        <v>0.0198</v>
      </c>
      <c r="M204" s="46" t="inlineStr"/>
      <c r="N204" s="47" t="n">
        <v>0.6026388888888888</v>
      </c>
    </row>
    <row r="205">
      <c r="A205" s="2" t="n">
        <v>46262</v>
      </c>
      <c r="B205" s="3" t="n">
        <v>0.6194560185185185</v>
      </c>
      <c r="C205" s="22" t="inlineStr">
        <is>
          <t>Hayat Finans</t>
        </is>
      </c>
      <c r="D205" t="inlineStr">
        <is>
          <t>GRAM_ALTIN</t>
        </is>
      </c>
      <c r="E205" s="5" t="n">
        <v>7048.87</v>
      </c>
      <c r="F205" s="5" t="n">
        <v>7188.24</v>
      </c>
      <c r="G205" s="5">
        <f>IF(OR(E205="",F205=""),"",F205-E205)</f>
        <v/>
      </c>
      <c r="H205" s="6">
        <f>IFERROR(G205/E205,"")</f>
        <v/>
      </c>
      <c r="I205" s="44" t="inlineStr">
        <is>
          <t>DOĞRU</t>
        </is>
      </c>
      <c r="J205" s="45" t="inlineStr">
        <is>
          <t>https://altin.doviz.com/gram-altin</t>
        </is>
      </c>
      <c r="K205" s="5" t="n">
        <v>139.37</v>
      </c>
      <c r="L205" s="6" t="n">
        <v>0.0198</v>
      </c>
      <c r="M205" s="46" t="inlineStr"/>
      <c r="N205" s="47" t="n">
        <v>0.619849537037037</v>
      </c>
    </row>
    <row r="206">
      <c r="A206" s="2" t="n">
        <v>46262</v>
      </c>
      <c r="B206" s="3" t="n">
        <v>0.5570949074074074</v>
      </c>
      <c r="C206" s="23" t="inlineStr">
        <is>
          <t>Hepsipay</t>
        </is>
      </c>
      <c r="D206" t="inlineStr">
        <is>
          <t>GRAM_ALTIN</t>
        </is>
      </c>
      <c r="E206" s="5" t="n">
        <v>7043.92</v>
      </c>
      <c r="F206" s="5" t="n">
        <v>7247.4</v>
      </c>
      <c r="G206" s="5">
        <f>IF(OR(E206="",F206=""),"",F206-E206)</f>
        <v/>
      </c>
      <c r="H206" s="6">
        <f>IFERROR(G206/E206,"")</f>
        <v/>
      </c>
      <c r="I206" s="44" t="inlineStr">
        <is>
          <t>DOĞRU</t>
        </is>
      </c>
      <c r="J206" s="45" t="inlineStr">
        <is>
          <t>https://altin.doviz.com/gram-altin</t>
        </is>
      </c>
      <c r="K206" s="5" t="n">
        <v>203.48</v>
      </c>
      <c r="L206" s="6" t="n">
        <v>0.0289</v>
      </c>
      <c r="M206" s="46" t="inlineStr"/>
      <c r="N206" s="47" t="n">
        <v>0.5575578703703704</v>
      </c>
    </row>
    <row r="207">
      <c r="A207" s="2" t="n">
        <v>46262</v>
      </c>
      <c r="B207" s="3" t="n">
        <v>0.5665625</v>
      </c>
      <c r="C207" s="23" t="inlineStr">
        <is>
          <t>Hepsipay</t>
        </is>
      </c>
      <c r="D207" t="inlineStr">
        <is>
          <t>GRAM_ALTIN</t>
        </is>
      </c>
      <c r="E207" s="5" t="n">
        <v>7044.02</v>
      </c>
      <c r="F207" s="5" t="n">
        <v>7247.51</v>
      </c>
      <c r="G207" s="5">
        <f>IF(OR(E207="",F207=""),"",F207-E207)</f>
        <v/>
      </c>
      <c r="H207" s="6">
        <f>IFERROR(G207/E207,"")</f>
        <v/>
      </c>
      <c r="I207" s="44" t="inlineStr">
        <is>
          <t>DOĞRU</t>
        </is>
      </c>
      <c r="J207" s="45" t="inlineStr">
        <is>
          <t>https://altin.doviz.com/gram-altin</t>
        </is>
      </c>
      <c r="K207" s="5" t="n">
        <v>203.49</v>
      </c>
      <c r="L207" s="6" t="n">
        <v>0.0289</v>
      </c>
      <c r="M207" s="46" t="inlineStr"/>
      <c r="N207" s="47" t="n">
        <v>0.5670601851851852</v>
      </c>
    </row>
    <row r="208">
      <c r="A208" s="2" t="n">
        <v>46262</v>
      </c>
      <c r="B208" s="3" t="n">
        <v>0.6021875</v>
      </c>
      <c r="C208" s="23" t="inlineStr">
        <is>
          <t>Hepsipay</t>
        </is>
      </c>
      <c r="D208" t="inlineStr">
        <is>
          <t>GRAM_ALTIN</t>
        </is>
      </c>
      <c r="E208" s="5" t="n">
        <v>7035.58</v>
      </c>
      <c r="F208" s="5" t="n">
        <v>7238.89</v>
      </c>
      <c r="G208" s="5">
        <f>IF(OR(E208="",F208=""),"",F208-E208)</f>
        <v/>
      </c>
      <c r="H208" s="6">
        <f>IFERROR(G208/E208,"")</f>
        <v/>
      </c>
      <c r="I208" s="44" t="inlineStr">
        <is>
          <t>DOĞRU</t>
        </is>
      </c>
      <c r="J208" s="45" t="inlineStr">
        <is>
          <t>https://altin.doviz.com/gram-altin</t>
        </is>
      </c>
      <c r="K208" s="5" t="n">
        <v>203.31</v>
      </c>
      <c r="L208" s="6" t="n">
        <v>0.0289</v>
      </c>
      <c r="M208" s="46" t="inlineStr"/>
      <c r="N208" s="47" t="n">
        <v>0.6026388888888888</v>
      </c>
    </row>
    <row r="209">
      <c r="A209" s="2" t="n">
        <v>46262</v>
      </c>
      <c r="B209" s="3" t="n">
        <v>0.6194560185185185</v>
      </c>
      <c r="C209" s="23" t="inlineStr">
        <is>
          <t>Hepsipay</t>
        </is>
      </c>
      <c r="D209" t="inlineStr">
        <is>
          <t>GRAM_ALTIN</t>
        </is>
      </c>
      <c r="E209" s="5" t="n">
        <v>7028.41</v>
      </c>
      <c r="F209" s="5" t="n">
        <v>7231.54</v>
      </c>
      <c r="G209" s="5">
        <f>IF(OR(E209="",F209=""),"",F209-E209)</f>
        <v/>
      </c>
      <c r="H209" s="6">
        <f>IFERROR(G209/E209,"")</f>
        <v/>
      </c>
      <c r="I209" s="44" t="inlineStr">
        <is>
          <t>DOĞRU</t>
        </is>
      </c>
      <c r="J209" s="45" t="inlineStr">
        <is>
          <t>https://altin.doviz.com/gram-altin</t>
        </is>
      </c>
      <c r="K209" s="5" t="n">
        <v>203.13</v>
      </c>
      <c r="L209" s="6" t="n">
        <v>0.0289</v>
      </c>
      <c r="M209" s="46" t="inlineStr"/>
      <c r="N209" s="47" t="n">
        <v>0.619849537037037</v>
      </c>
    </row>
    <row r="210">
      <c r="A210" s="2" t="n">
        <v>46262</v>
      </c>
      <c r="B210" s="3" t="n">
        <v>0.5570949074074074</v>
      </c>
      <c r="C210" s="24" t="inlineStr">
        <is>
          <t>HSBC</t>
        </is>
      </c>
      <c r="D210" t="inlineStr">
        <is>
          <t>DOLAR</t>
        </is>
      </c>
      <c r="E210" s="5" t="n">
        <v>47.6572</v>
      </c>
      <c r="F210" s="5" t="n">
        <v>48.5572</v>
      </c>
      <c r="G210" s="5">
        <f>IF(OR(E210="",F210=""),"",F210-E210)</f>
        <v/>
      </c>
      <c r="H210" s="6">
        <f>IFERROR(G210/E210,"")</f>
        <v/>
      </c>
      <c r="I210" s="44" t="inlineStr">
        <is>
          <t>DOĞRU</t>
        </is>
      </c>
      <c r="J210" s="45" t="inlineStr">
        <is>
          <t>https://kur.doviz.com/serbest-piyasa/amerikan-dolari</t>
        </is>
      </c>
      <c r="K210" s="5" t="n">
        <v>0.9</v>
      </c>
      <c r="L210" s="6" t="n">
        <v>0.0189</v>
      </c>
      <c r="M210" s="46" t="inlineStr"/>
      <c r="N210" s="47" t="n">
        <v>0.5572569444444444</v>
      </c>
    </row>
    <row r="211">
      <c r="A211" s="2" t="n">
        <v>46262</v>
      </c>
      <c r="B211" s="3" t="n">
        <v>0.5665625</v>
      </c>
      <c r="C211" s="24" t="inlineStr">
        <is>
          <t>HSBC</t>
        </is>
      </c>
      <c r="D211" t="inlineStr">
        <is>
          <t>DOLAR</t>
        </is>
      </c>
      <c r="E211" s="5" t="n">
        <v>47.6589</v>
      </c>
      <c r="F211" s="5" t="n">
        <v>48.5557</v>
      </c>
      <c r="G211" s="5">
        <f>IF(OR(E211="",F211=""),"",F211-E211)</f>
        <v/>
      </c>
      <c r="H211" s="6">
        <f>IFERROR(G211/E211,"")</f>
        <v/>
      </c>
      <c r="I211" s="44" t="inlineStr">
        <is>
          <t>DOĞRU</t>
        </is>
      </c>
      <c r="J211" s="45" t="inlineStr">
        <is>
          <t>https://kur.doviz.com/serbest-piyasa/amerikan-dolari</t>
        </is>
      </c>
      <c r="K211" s="5" t="n">
        <v>0.8968</v>
      </c>
      <c r="L211" s="6" t="n">
        <v>0.0188</v>
      </c>
      <c r="M211" s="46" t="inlineStr"/>
      <c r="N211" s="47" t="n">
        <v>0.5667592592592593</v>
      </c>
    </row>
    <row r="212">
      <c r="A212" s="2" t="n">
        <v>46262</v>
      </c>
      <c r="B212" s="3" t="n">
        <v>0.6021875</v>
      </c>
      <c r="C212" s="24" t="inlineStr">
        <is>
          <t>HSBC</t>
        </is>
      </c>
      <c r="D212" t="inlineStr">
        <is>
          <t>DOLAR</t>
        </is>
      </c>
      <c r="E212" s="5" t="n">
        <v>47.6583</v>
      </c>
      <c r="F212" s="5" t="n">
        <v>48.5562</v>
      </c>
      <c r="G212" s="5">
        <f>IF(OR(E212="",F212=""),"",F212-E212)</f>
        <v/>
      </c>
      <c r="H212" s="6">
        <f>IFERROR(G212/E212,"")</f>
        <v/>
      </c>
      <c r="I212" s="44" t="inlineStr">
        <is>
          <t>DOĞRU</t>
        </is>
      </c>
      <c r="J212" s="45" t="inlineStr">
        <is>
          <t>https://kur.doviz.com/serbest-piyasa/amerikan-dolari</t>
        </is>
      </c>
      <c r="K212" s="5" t="n">
        <v>0.8979</v>
      </c>
      <c r="L212" s="6" t="n">
        <v>0.0188</v>
      </c>
      <c r="M212" s="46" t="inlineStr"/>
      <c r="N212" s="47" t="n">
        <v>0.6023379629629629</v>
      </c>
    </row>
    <row r="213">
      <c r="A213" s="2" t="n">
        <v>46262</v>
      </c>
      <c r="B213" s="3" t="n">
        <v>0.6194560185185185</v>
      </c>
      <c r="C213" s="24" t="inlineStr">
        <is>
          <t>HSBC</t>
        </is>
      </c>
      <c r="D213" t="inlineStr">
        <is>
          <t>DOLAR</t>
        </is>
      </c>
      <c r="E213" s="5" t="n">
        <v>47.6572</v>
      </c>
      <c r="F213" s="5" t="n">
        <v>48.5572</v>
      </c>
      <c r="G213" s="5">
        <f>IF(OR(E213="",F213=""),"",F213-E213)</f>
        <v/>
      </c>
      <c r="H213" s="6">
        <f>IFERROR(G213/E213,"")</f>
        <v/>
      </c>
      <c r="I213" s="44" t="inlineStr">
        <is>
          <t>DOĞRU</t>
        </is>
      </c>
      <c r="J213" s="45" t="inlineStr">
        <is>
          <t>https://kur.doviz.com/serbest-piyasa/amerikan-dolari</t>
        </is>
      </c>
      <c r="K213" s="5" t="n">
        <v>0.9</v>
      </c>
      <c r="L213" s="6" t="n">
        <v>0.0189</v>
      </c>
      <c r="M213" s="46" t="inlineStr"/>
      <c r="N213" s="47" t="n">
        <v>0.6196180555555556</v>
      </c>
    </row>
    <row r="214">
      <c r="A214" s="2" t="n">
        <v>46262</v>
      </c>
      <c r="B214" s="3" t="n">
        <v>0.5570949074074074</v>
      </c>
      <c r="C214" s="24" t="inlineStr">
        <is>
          <t>HSBC</t>
        </is>
      </c>
      <c r="D214" t="inlineStr">
        <is>
          <t>EURO</t>
        </is>
      </c>
      <c r="E214" s="5" t="n">
        <v>55.4777</v>
      </c>
      <c r="F214" s="5" t="n">
        <v>56.5449</v>
      </c>
      <c r="G214" s="5">
        <f>IF(OR(E214="",F214=""),"",F214-E214)</f>
        <v/>
      </c>
      <c r="H214" s="6">
        <f>IFERROR(G214/E214,"")</f>
        <v/>
      </c>
      <c r="I214" s="44" t="inlineStr">
        <is>
          <t>DOĞRU</t>
        </is>
      </c>
      <c r="J214" s="45" t="inlineStr">
        <is>
          <t>https://kur.doviz.com/serbest-piyasa/euro</t>
        </is>
      </c>
      <c r="K214" s="5" t="n">
        <v>1.0672</v>
      </c>
      <c r="L214" s="6" t="n">
        <v>0.0192</v>
      </c>
      <c r="M214" s="46" t="inlineStr"/>
      <c r="N214" s="47" t="n">
        <v>0.5574074074074075</v>
      </c>
    </row>
    <row r="215">
      <c r="A215" s="2" t="n">
        <v>46262</v>
      </c>
      <c r="B215" s="3" t="n">
        <v>0.5665625</v>
      </c>
      <c r="C215" s="24" t="inlineStr">
        <is>
          <t>HSBC</t>
        </is>
      </c>
      <c r="D215" t="inlineStr">
        <is>
          <t>EURO</t>
        </is>
      </c>
      <c r="E215" s="5" t="n">
        <v>55.5024</v>
      </c>
      <c r="F215" s="5" t="n">
        <v>56.5735</v>
      </c>
      <c r="G215" s="5">
        <f>IF(OR(E215="",F215=""),"",F215-E215)</f>
        <v/>
      </c>
      <c r="H215" s="6">
        <f>IFERROR(G215/E215,"")</f>
        <v/>
      </c>
      <c r="I215" s="44" t="inlineStr">
        <is>
          <t>DOĞRU</t>
        </is>
      </c>
      <c r="J215" s="45" t="inlineStr">
        <is>
          <t>https://kur.doviz.com/serbest-piyasa/euro</t>
        </is>
      </c>
      <c r="K215" s="5" t="n">
        <v>1.0711</v>
      </c>
      <c r="L215" s="6" t="n">
        <v>0.0193</v>
      </c>
      <c r="M215" s="46" t="inlineStr"/>
      <c r="N215" s="47" t="n">
        <v>0.5669097222222222</v>
      </c>
    </row>
    <row r="216">
      <c r="A216" s="2" t="n">
        <v>46262</v>
      </c>
      <c r="B216" s="3" t="n">
        <v>0.6021875</v>
      </c>
      <c r="C216" s="24" t="inlineStr">
        <is>
          <t>HSBC</t>
        </is>
      </c>
      <c r="D216" t="inlineStr">
        <is>
          <t>EURO</t>
        </is>
      </c>
      <c r="E216" s="5" t="n">
        <v>55.5065</v>
      </c>
      <c r="F216" s="5" t="n">
        <v>56.5789</v>
      </c>
      <c r="G216" s="5">
        <f>IF(OR(E216="",F216=""),"",F216-E216)</f>
        <v/>
      </c>
      <c r="H216" s="6">
        <f>IFERROR(G216/E216,"")</f>
        <v/>
      </c>
      <c r="I216" s="44" t="inlineStr">
        <is>
          <t>DOĞRU</t>
        </is>
      </c>
      <c r="J216" s="45" t="inlineStr">
        <is>
          <t>https://kur.doviz.com/serbest-piyasa/euro</t>
        </is>
      </c>
      <c r="K216" s="5" t="n">
        <v>1.0724</v>
      </c>
      <c r="L216" s="6" t="n">
        <v>0.0193</v>
      </c>
      <c r="M216" s="46" t="inlineStr"/>
      <c r="N216" s="47" t="n">
        <v>0.6024884259259259</v>
      </c>
    </row>
    <row r="217">
      <c r="A217" s="2" t="n">
        <v>46262</v>
      </c>
      <c r="B217" s="3" t="n">
        <v>0.6194560185185185</v>
      </c>
      <c r="C217" s="24" t="inlineStr">
        <is>
          <t>HSBC</t>
        </is>
      </c>
      <c r="D217" t="inlineStr">
        <is>
          <t>EURO</t>
        </is>
      </c>
      <c r="E217" s="5" t="n">
        <v>55.4956</v>
      </c>
      <c r="F217" s="5" t="n">
        <v>56.5703</v>
      </c>
      <c r="G217" s="5">
        <f>IF(OR(E217="",F217=""),"",F217-E217)</f>
        <v/>
      </c>
      <c r="H217" s="6">
        <f>IFERROR(G217/E217,"")</f>
        <v/>
      </c>
      <c r="I217" s="44" t="inlineStr">
        <is>
          <t>DOĞRU</t>
        </is>
      </c>
      <c r="J217" s="45" t="inlineStr">
        <is>
          <t>https://kur.doviz.com/serbest-piyasa/euro</t>
        </is>
      </c>
      <c r="K217" s="5" t="n">
        <v>1.07</v>
      </c>
      <c r="L217" s="6" t="n">
        <v>0.0193</v>
      </c>
      <c r="M217" s="46" t="inlineStr"/>
      <c r="N217" s="47" t="n">
        <v>0.6196990740740741</v>
      </c>
    </row>
    <row r="218">
      <c r="A218" s="2" t="n">
        <v>46262</v>
      </c>
      <c r="B218" s="3" t="n">
        <v>0.5570949074074074</v>
      </c>
      <c r="C218" s="24" t="inlineStr">
        <is>
          <t>HSBC</t>
        </is>
      </c>
      <c r="D218" t="inlineStr">
        <is>
          <t>GRAM_ALTIN</t>
        </is>
      </c>
      <c r="E218" s="5" t="n">
        <v>7021.83</v>
      </c>
      <c r="F218" s="5" t="n">
        <v>7469.98</v>
      </c>
      <c r="G218" s="5">
        <f>IF(OR(E218="",F218=""),"",F218-E218)</f>
        <v/>
      </c>
      <c r="H218" s="6">
        <f>IFERROR(G218/E218,"")</f>
        <v/>
      </c>
      <c r="I218" s="44" t="inlineStr">
        <is>
          <t>DOĞRU</t>
        </is>
      </c>
      <c r="J218" s="45" t="inlineStr">
        <is>
          <t>https://altin.doviz.com/gram-altin</t>
        </is>
      </c>
      <c r="K218" s="5" t="n">
        <v>448.15</v>
      </c>
      <c r="L218" s="6" t="n">
        <v>0.0638</v>
      </c>
      <c r="M218" s="46" t="inlineStr"/>
      <c r="N218" s="47" t="n">
        <v>0.5575578703703704</v>
      </c>
    </row>
    <row r="219">
      <c r="A219" s="2" t="n">
        <v>46262</v>
      </c>
      <c r="B219" s="3" t="n">
        <v>0.5665625</v>
      </c>
      <c r="C219" s="24" t="inlineStr">
        <is>
          <t>HSBC</t>
        </is>
      </c>
      <c r="D219" t="inlineStr">
        <is>
          <t>GRAM_ALTIN</t>
        </is>
      </c>
      <c r="E219" s="5" t="n">
        <v>7026.34</v>
      </c>
      <c r="F219" s="5" t="n">
        <v>7474.1</v>
      </c>
      <c r="G219" s="5">
        <f>IF(OR(E219="",F219=""),"",F219-E219)</f>
        <v/>
      </c>
      <c r="H219" s="6">
        <f>IFERROR(G219/E219,"")</f>
        <v/>
      </c>
      <c r="I219" s="44" t="inlineStr">
        <is>
          <t>DOĞRU</t>
        </is>
      </c>
      <c r="J219" s="45" t="inlineStr">
        <is>
          <t>https://altin.doviz.com/gram-altin</t>
        </is>
      </c>
      <c r="K219" s="5" t="n">
        <v>447.76</v>
      </c>
      <c r="L219" s="6" t="n">
        <v>0.06370000000000001</v>
      </c>
      <c r="M219" s="46" t="inlineStr"/>
      <c r="N219" s="47" t="n">
        <v>0.5670601851851852</v>
      </c>
    </row>
    <row r="220">
      <c r="A220" s="2" t="n">
        <v>46262</v>
      </c>
      <c r="B220" s="3" t="n">
        <v>0.6021875</v>
      </c>
      <c r="C220" s="24" t="inlineStr">
        <is>
          <t>HSBC</t>
        </is>
      </c>
      <c r="D220" t="inlineStr">
        <is>
          <t>GRAM_ALTIN</t>
        </is>
      </c>
      <c r="E220" s="5" t="n">
        <v>7015.32</v>
      </c>
      <c r="F220" s="5" t="n">
        <v>7463.25</v>
      </c>
      <c r="G220" s="5">
        <f>IF(OR(E220="",F220=""),"",F220-E220)</f>
        <v/>
      </c>
      <c r="H220" s="6">
        <f>IFERROR(G220/E220,"")</f>
        <v/>
      </c>
      <c r="I220" s="44" t="inlineStr">
        <is>
          <t>DOĞRU</t>
        </is>
      </c>
      <c r="J220" s="45" t="inlineStr">
        <is>
          <t>https://altin.doviz.com/gram-altin</t>
        </is>
      </c>
      <c r="K220" s="5" t="n">
        <v>447.92</v>
      </c>
      <c r="L220" s="6" t="n">
        <v>0.0638</v>
      </c>
      <c r="M220" s="46" t="inlineStr"/>
      <c r="N220" s="47" t="n">
        <v>0.6026388888888888</v>
      </c>
    </row>
    <row r="221">
      <c r="A221" s="2" t="n">
        <v>46262</v>
      </c>
      <c r="B221" s="3" t="n">
        <v>0.6194560185185185</v>
      </c>
      <c r="C221" s="24" t="inlineStr">
        <is>
          <t>HSBC</t>
        </is>
      </c>
      <c r="D221" t="inlineStr">
        <is>
          <t>GRAM_ALTIN</t>
        </is>
      </c>
      <c r="E221" s="5" t="n">
        <v>7007.17</v>
      </c>
      <c r="F221" s="5" t="n">
        <v>7454.69</v>
      </c>
      <c r="G221" s="5">
        <f>IF(OR(E221="",F221=""),"",F221-E221)</f>
        <v/>
      </c>
      <c r="H221" s="6">
        <f>IFERROR(G221/E221,"")</f>
        <v/>
      </c>
      <c r="I221" s="44" t="inlineStr">
        <is>
          <t>DOĞRU</t>
        </is>
      </c>
      <c r="J221" s="45" t="inlineStr">
        <is>
          <t>https://altin.doviz.com/gram-altin</t>
        </is>
      </c>
      <c r="K221" s="5" t="n">
        <v>447.52</v>
      </c>
      <c r="L221" s="6" t="n">
        <v>0.0639</v>
      </c>
      <c r="M221" s="46" t="inlineStr"/>
      <c r="N221" s="47" t="n">
        <v>0.619849537037037</v>
      </c>
    </row>
    <row r="222">
      <c r="A222" s="2" t="n">
        <v>46262</v>
      </c>
      <c r="B222" s="3" t="n">
        <v>0.5570949074074074</v>
      </c>
      <c r="C222" s="25" t="inlineStr">
        <is>
          <t>ING Bank</t>
        </is>
      </c>
      <c r="D222" t="inlineStr">
        <is>
          <t>DOLAR</t>
        </is>
      </c>
      <c r="E222" s="5" t="n">
        <v>47.6091</v>
      </c>
      <c r="F222" s="5" t="n">
        <v>48.6147</v>
      </c>
      <c r="G222" s="5">
        <f>IF(OR(E222="",F222=""),"",F222-E222)</f>
        <v/>
      </c>
      <c r="H222" s="6">
        <f>IFERROR(G222/E222,"")</f>
        <v/>
      </c>
      <c r="I222" s="44" t="inlineStr">
        <is>
          <t>DOĞRU</t>
        </is>
      </c>
      <c r="J222" s="45" t="inlineStr">
        <is>
          <t>https://kur.doviz.com/serbest-piyasa/amerikan-dolari</t>
        </is>
      </c>
      <c r="K222" s="5" t="n">
        <v>1.0056</v>
      </c>
      <c r="L222" s="6" t="n">
        <v>0.0211</v>
      </c>
      <c r="M222" s="46" t="inlineStr"/>
      <c r="N222" s="47" t="n">
        <v>0.5572569444444444</v>
      </c>
    </row>
    <row r="223">
      <c r="A223" s="2" t="n">
        <v>46262</v>
      </c>
      <c r="B223" s="3" t="n">
        <v>0.5665625</v>
      </c>
      <c r="C223" s="25" t="inlineStr">
        <is>
          <t>ING Bank</t>
        </is>
      </c>
      <c r="D223" t="inlineStr">
        <is>
          <t>DOLAR</t>
        </is>
      </c>
      <c r="E223" s="5" t="n">
        <v>47.6091</v>
      </c>
      <c r="F223" s="5" t="n">
        <v>48.6145</v>
      </c>
      <c r="G223" s="5">
        <f>IF(OR(E223="",F223=""),"",F223-E223)</f>
        <v/>
      </c>
      <c r="H223" s="6">
        <f>IFERROR(G223/E223,"")</f>
        <v/>
      </c>
      <c r="I223" s="44" t="inlineStr">
        <is>
          <t>DOĞRU</t>
        </is>
      </c>
      <c r="J223" s="45" t="inlineStr">
        <is>
          <t>https://kur.doviz.com/serbest-piyasa/amerikan-dolari</t>
        </is>
      </c>
      <c r="K223" s="5" t="n">
        <v>1.0054</v>
      </c>
      <c r="L223" s="6" t="n">
        <v>0.0211</v>
      </c>
      <c r="M223" s="46" t="inlineStr"/>
      <c r="N223" s="47" t="n">
        <v>0.5667592592592593</v>
      </c>
    </row>
    <row r="224">
      <c r="A224" s="2" t="n">
        <v>46262</v>
      </c>
      <c r="B224" s="3" t="n">
        <v>0.6021875</v>
      </c>
      <c r="C224" s="25" t="inlineStr">
        <is>
          <t>ING Bank</t>
        </is>
      </c>
      <c r="D224" t="inlineStr">
        <is>
          <t>DOLAR</t>
        </is>
      </c>
      <c r="E224" s="5" t="n">
        <v>47.609</v>
      </c>
      <c r="F224" s="5" t="n">
        <v>48.6148</v>
      </c>
      <c r="G224" s="5">
        <f>IF(OR(E224="",F224=""),"",F224-E224)</f>
        <v/>
      </c>
      <c r="H224" s="6">
        <f>IFERROR(G224/E224,"")</f>
        <v/>
      </c>
      <c r="I224" s="44" t="inlineStr">
        <is>
          <t>DOĞRU</t>
        </is>
      </c>
      <c r="J224" s="45" t="inlineStr">
        <is>
          <t>https://kur.doviz.com/serbest-piyasa/amerikan-dolari</t>
        </is>
      </c>
      <c r="K224" s="5" t="n">
        <v>1.0058</v>
      </c>
      <c r="L224" s="6" t="n">
        <v>0.0211</v>
      </c>
      <c r="M224" s="46" t="inlineStr"/>
      <c r="N224" s="47" t="n">
        <v>0.6023379629629629</v>
      </c>
    </row>
    <row r="225">
      <c r="A225" s="2" t="n">
        <v>46262</v>
      </c>
      <c r="B225" s="3" t="n">
        <v>0.6194560185185185</v>
      </c>
      <c r="C225" s="25" t="inlineStr">
        <is>
          <t>ING Bank</t>
        </is>
      </c>
      <c r="D225" t="inlineStr">
        <is>
          <t>DOLAR</t>
        </is>
      </c>
      <c r="E225" s="5" t="n">
        <v>47.6088</v>
      </c>
      <c r="F225" s="5" t="n">
        <v>48.6146</v>
      </c>
      <c r="G225" s="5">
        <f>IF(OR(E225="",F225=""),"",F225-E225)</f>
        <v/>
      </c>
      <c r="H225" s="6">
        <f>IFERROR(G225/E225,"")</f>
        <v/>
      </c>
      <c r="I225" s="44" t="inlineStr">
        <is>
          <t>DOĞRU</t>
        </is>
      </c>
      <c r="J225" s="45" t="inlineStr">
        <is>
          <t>https://kur.doviz.com/serbest-piyasa/amerikan-dolari</t>
        </is>
      </c>
      <c r="K225" s="5" t="n">
        <v>1.0058</v>
      </c>
      <c r="L225" s="6" t="n">
        <v>0.0211</v>
      </c>
      <c r="M225" s="46" t="inlineStr"/>
      <c r="N225" s="47" t="n">
        <v>0.6196180555555556</v>
      </c>
    </row>
    <row r="226">
      <c r="A226" s="2" t="n">
        <v>46262</v>
      </c>
      <c r="B226" s="3" t="n">
        <v>0.5570949074074074</v>
      </c>
      <c r="C226" s="25" t="inlineStr">
        <is>
          <t>ING Bank</t>
        </is>
      </c>
      <c r="D226" t="inlineStr">
        <is>
          <t>EURO</t>
        </is>
      </c>
      <c r="E226" s="5" t="n">
        <v>55.4961</v>
      </c>
      <c r="F226" s="5" t="n">
        <v>56.5077</v>
      </c>
      <c r="G226" s="5">
        <f>IF(OR(E226="",F226=""),"",F226-E226)</f>
        <v/>
      </c>
      <c r="H226" s="6">
        <f>IFERROR(G226/E226,"")</f>
        <v/>
      </c>
      <c r="I226" s="44" t="inlineStr">
        <is>
          <t>DOĞRU</t>
        </is>
      </c>
      <c r="J226" s="45" t="inlineStr">
        <is>
          <t>https://kur.doviz.com/serbest-piyasa/euro</t>
        </is>
      </c>
      <c r="K226" s="5" t="n">
        <v>1.0116</v>
      </c>
      <c r="L226" s="6" t="n">
        <v>0.0182</v>
      </c>
      <c r="M226" s="46" t="inlineStr"/>
      <c r="N226" s="47" t="n">
        <v>0.5574074074074075</v>
      </c>
    </row>
    <row r="227">
      <c r="A227" s="2" t="n">
        <v>46262</v>
      </c>
      <c r="B227" s="3" t="n">
        <v>0.5665625</v>
      </c>
      <c r="C227" s="25" t="inlineStr">
        <is>
          <t>ING Bank</t>
        </is>
      </c>
      <c r="D227" t="inlineStr">
        <is>
          <t>EURO</t>
        </is>
      </c>
      <c r="E227" s="5" t="n">
        <v>55.5153</v>
      </c>
      <c r="F227" s="5" t="n">
        <v>56.5271</v>
      </c>
      <c r="G227" s="5">
        <f>IF(OR(E227="",F227=""),"",F227-E227)</f>
        <v/>
      </c>
      <c r="H227" s="6">
        <f>IFERROR(G227/E227,"")</f>
        <v/>
      </c>
      <c r="I227" s="44" t="inlineStr">
        <is>
          <t>DOĞRU</t>
        </is>
      </c>
      <c r="J227" s="45" t="inlineStr">
        <is>
          <t>https://kur.doviz.com/serbest-piyasa/euro</t>
        </is>
      </c>
      <c r="K227" s="5" t="n">
        <v>1.0118</v>
      </c>
      <c r="L227" s="6" t="n">
        <v>0.0182</v>
      </c>
      <c r="M227" s="46" t="inlineStr"/>
      <c r="N227" s="47" t="n">
        <v>0.5669097222222222</v>
      </c>
    </row>
    <row r="228">
      <c r="A228" s="2" t="n">
        <v>46262</v>
      </c>
      <c r="B228" s="3" t="n">
        <v>0.6021875</v>
      </c>
      <c r="C228" s="25" t="inlineStr">
        <is>
          <t>ING Bank</t>
        </is>
      </c>
      <c r="D228" t="inlineStr">
        <is>
          <t>EURO</t>
        </is>
      </c>
      <c r="E228" s="5" t="n">
        <v>55.5225</v>
      </c>
      <c r="F228" s="5" t="n">
        <v>56.5368</v>
      </c>
      <c r="G228" s="5">
        <f>IF(OR(E228="",F228=""),"",F228-E228)</f>
        <v/>
      </c>
      <c r="H228" s="6">
        <f>IFERROR(G228/E228,"")</f>
        <v/>
      </c>
      <c r="I228" s="44" t="inlineStr">
        <is>
          <t>DOĞRU</t>
        </is>
      </c>
      <c r="J228" s="45" t="inlineStr">
        <is>
          <t>https://kur.doviz.com/serbest-piyasa/euro</t>
        </is>
      </c>
      <c r="K228" s="5" t="n">
        <v>1.0143</v>
      </c>
      <c r="L228" s="6" t="n">
        <v>0.0183</v>
      </c>
      <c r="M228" s="46" t="inlineStr"/>
      <c r="N228" s="47" t="n">
        <v>0.6024884259259259</v>
      </c>
    </row>
    <row r="229">
      <c r="A229" s="2" t="n">
        <v>46262</v>
      </c>
      <c r="B229" s="3" t="n">
        <v>0.6194560185185185</v>
      </c>
      <c r="C229" s="25" t="inlineStr">
        <is>
          <t>ING Bank</t>
        </is>
      </c>
      <c r="D229" t="inlineStr">
        <is>
          <t>EURO</t>
        </is>
      </c>
      <c r="E229" s="5" t="n">
        <v>55.5151</v>
      </c>
      <c r="F229" s="5" t="n">
        <v>56.5268</v>
      </c>
      <c r="G229" s="5">
        <f>IF(OR(E229="",F229=""),"",F229-E229)</f>
        <v/>
      </c>
      <c r="H229" s="6">
        <f>IFERROR(G229/E229,"")</f>
        <v/>
      </c>
      <c r="I229" s="44" t="inlineStr">
        <is>
          <t>DOĞRU</t>
        </is>
      </c>
      <c r="J229" s="45" t="inlineStr">
        <is>
          <t>https://kur.doviz.com/serbest-piyasa/euro</t>
        </is>
      </c>
      <c r="K229" s="5" t="n">
        <v>1.01</v>
      </c>
      <c r="L229" s="6" t="n">
        <v>0.0182</v>
      </c>
      <c r="M229" s="46" t="inlineStr"/>
      <c r="N229" s="47" t="n">
        <v>0.6196990740740741</v>
      </c>
    </row>
    <row r="230">
      <c r="A230" s="2" t="n">
        <v>46262</v>
      </c>
      <c r="B230" s="3" t="n">
        <v>0.5570949074074074</v>
      </c>
      <c r="C230" s="25" t="inlineStr">
        <is>
          <t>ING Bank</t>
        </is>
      </c>
      <c r="D230" t="inlineStr">
        <is>
          <t>GRAM_ALTIN</t>
        </is>
      </c>
      <c r="E230" s="5" t="n">
        <v>6993.62</v>
      </c>
      <c r="F230" s="5" t="n">
        <v>7246.14</v>
      </c>
      <c r="G230" s="5">
        <f>IF(OR(E230="",F230=""),"",F230-E230)</f>
        <v/>
      </c>
      <c r="H230" s="6">
        <f>IFERROR(G230/E230,"")</f>
        <v/>
      </c>
      <c r="I230" s="44" t="inlineStr">
        <is>
          <t>DOĞRU</t>
        </is>
      </c>
      <c r="J230" s="45" t="inlineStr">
        <is>
          <t>https://altin.doviz.com/gram-altin</t>
        </is>
      </c>
      <c r="K230" s="5" t="n">
        <v>252.51</v>
      </c>
      <c r="L230" s="6" t="n">
        <v>0.0361</v>
      </c>
      <c r="M230" s="46" t="inlineStr"/>
      <c r="N230" s="47" t="n">
        <v>0.5575578703703704</v>
      </c>
    </row>
    <row r="231">
      <c r="A231" s="2" t="n">
        <v>46262</v>
      </c>
      <c r="B231" s="3" t="n">
        <v>0.5665625</v>
      </c>
      <c r="C231" s="25" t="inlineStr">
        <is>
          <t>ING Bank</t>
        </is>
      </c>
      <c r="D231" t="inlineStr">
        <is>
          <t>GRAM_ALTIN</t>
        </is>
      </c>
      <c r="E231" s="5" t="n">
        <v>6996.56</v>
      </c>
      <c r="F231" s="5" t="n">
        <v>7249.09</v>
      </c>
      <c r="G231" s="5">
        <f>IF(OR(E231="",F231=""),"",F231-E231)</f>
        <v/>
      </c>
      <c r="H231" s="6">
        <f>IFERROR(G231/E231,"")</f>
        <v/>
      </c>
      <c r="I231" s="44" t="inlineStr">
        <is>
          <t>DOĞRU</t>
        </is>
      </c>
      <c r="J231" s="45" t="inlineStr">
        <is>
          <t>https://altin.doviz.com/gram-altin</t>
        </is>
      </c>
      <c r="K231" s="5" t="n">
        <v>252.53</v>
      </c>
      <c r="L231" s="6" t="n">
        <v>0.0361</v>
      </c>
      <c r="M231" s="46" t="inlineStr"/>
      <c r="N231" s="47" t="n">
        <v>0.5670601851851852</v>
      </c>
    </row>
    <row r="232">
      <c r="A232" s="2" t="n">
        <v>46262</v>
      </c>
      <c r="B232" s="3" t="n">
        <v>0.6021875</v>
      </c>
      <c r="C232" s="25" t="inlineStr">
        <is>
          <t>ING Bank</t>
        </is>
      </c>
      <c r="D232" t="inlineStr">
        <is>
          <t>GRAM_ALTIN</t>
        </is>
      </c>
      <c r="E232" s="5" t="n">
        <v>6986.34</v>
      </c>
      <c r="F232" s="5" t="n">
        <v>7239.2</v>
      </c>
      <c r="G232" s="5">
        <f>IF(OR(E232="",F232=""),"",F232-E232)</f>
        <v/>
      </c>
      <c r="H232" s="6">
        <f>IFERROR(G232/E232,"")</f>
        <v/>
      </c>
      <c r="I232" s="44" t="inlineStr">
        <is>
          <t>DOĞRU</t>
        </is>
      </c>
      <c r="J232" s="45" t="inlineStr">
        <is>
          <t>https://altin.doviz.com/gram-altin</t>
        </is>
      </c>
      <c r="K232" s="5" t="n">
        <v>252.86</v>
      </c>
      <c r="L232" s="6" t="n">
        <v>0.0362</v>
      </c>
      <c r="M232" s="46" t="inlineStr"/>
      <c r="N232" s="47" t="n">
        <v>0.6026388888888888</v>
      </c>
    </row>
    <row r="233">
      <c r="A233" s="2" t="n">
        <v>46262</v>
      </c>
      <c r="B233" s="3" t="n">
        <v>0.6194560185185185</v>
      </c>
      <c r="C233" s="25" t="inlineStr">
        <is>
          <t>ING Bank</t>
        </is>
      </c>
      <c r="D233" t="inlineStr">
        <is>
          <t>GRAM_ALTIN</t>
        </is>
      </c>
      <c r="E233" s="5" t="n">
        <v>6977.2</v>
      </c>
      <c r="F233" s="5" t="n">
        <v>7230.01</v>
      </c>
      <c r="G233" s="5">
        <f>IF(OR(E233="",F233=""),"",F233-E233)</f>
        <v/>
      </c>
      <c r="H233" s="6">
        <f>IFERROR(G233/E233,"")</f>
        <v/>
      </c>
      <c r="I233" s="44" t="inlineStr">
        <is>
          <t>DOĞRU</t>
        </is>
      </c>
      <c r="J233" s="45" t="inlineStr">
        <is>
          <t>https://altin.doviz.com/gram-altin</t>
        </is>
      </c>
      <c r="K233" s="5" t="n">
        <v>252.81</v>
      </c>
      <c r="L233" s="6" t="n">
        <v>0.0362</v>
      </c>
      <c r="M233" s="46" t="inlineStr"/>
      <c r="N233" s="47" t="n">
        <v>0.619849537037037</v>
      </c>
    </row>
    <row r="234">
      <c r="A234" s="2" t="n">
        <v>46262</v>
      </c>
      <c r="B234" s="3" t="n">
        <v>0.5570949074074074</v>
      </c>
      <c r="C234" s="26" t="inlineStr">
        <is>
          <t>İş Bankası</t>
        </is>
      </c>
      <c r="D234" t="inlineStr">
        <is>
          <t>DOLAR</t>
        </is>
      </c>
      <c r="E234" s="5" t="n">
        <v>47.535</v>
      </c>
      <c r="F234" s="5" t="n">
        <v>48.6933</v>
      </c>
      <c r="G234" s="5">
        <f>IF(OR(E234="",F234=""),"",F234-E234)</f>
        <v/>
      </c>
      <c r="H234" s="6">
        <f>IFERROR(G234/E234,"")</f>
        <v/>
      </c>
      <c r="I234" s="44" t="inlineStr">
        <is>
          <t>DOĞRU</t>
        </is>
      </c>
      <c r="J234" s="45" t="inlineStr">
        <is>
          <t>https://kur.doviz.com/serbest-piyasa/amerikan-dolari</t>
        </is>
      </c>
      <c r="K234" s="5" t="n">
        <v>1.1583</v>
      </c>
      <c r="L234" s="6" t="n">
        <v>0.0244</v>
      </c>
      <c r="M234" s="46" t="inlineStr"/>
      <c r="N234" s="47" t="n">
        <v>0.5572569444444444</v>
      </c>
    </row>
    <row r="235">
      <c r="A235" s="2" t="n">
        <v>46262</v>
      </c>
      <c r="B235" s="3" t="n">
        <v>0.5665625</v>
      </c>
      <c r="C235" s="26" t="inlineStr">
        <is>
          <t>İş Bankası</t>
        </is>
      </c>
      <c r="D235" t="inlineStr">
        <is>
          <t>DOLAR</t>
        </is>
      </c>
      <c r="E235" s="5" t="n">
        <v>47.5342</v>
      </c>
      <c r="F235" s="5" t="n">
        <v>48.6934</v>
      </c>
      <c r="G235" s="5">
        <f>IF(OR(E235="",F235=""),"",F235-E235)</f>
        <v/>
      </c>
      <c r="H235" s="6">
        <f>IFERROR(G235/E235,"")</f>
        <v/>
      </c>
      <c r="I235" s="44" t="inlineStr">
        <is>
          <t>DOĞRU</t>
        </is>
      </c>
      <c r="J235" s="45" t="inlineStr">
        <is>
          <t>https://kur.doviz.com/serbest-piyasa/amerikan-dolari</t>
        </is>
      </c>
      <c r="K235" s="5" t="n">
        <v>1.1592</v>
      </c>
      <c r="L235" s="6" t="n">
        <v>0.0244</v>
      </c>
      <c r="M235" s="46" t="inlineStr"/>
      <c r="N235" s="47" t="n">
        <v>0.5667592592592593</v>
      </c>
    </row>
    <row r="236">
      <c r="A236" s="2" t="n">
        <v>46262</v>
      </c>
      <c r="B236" s="3" t="n">
        <v>0.6021875</v>
      </c>
      <c r="C236" s="26" t="inlineStr">
        <is>
          <t>İş Bankası</t>
        </is>
      </c>
      <c r="D236" t="inlineStr">
        <is>
          <t>DOLAR</t>
        </is>
      </c>
      <c r="E236" s="5" t="n">
        <v>47.5345</v>
      </c>
      <c r="F236" s="5" t="n">
        <v>48.6933</v>
      </c>
      <c r="G236" s="5">
        <f>IF(OR(E236="",F236=""),"",F236-E236)</f>
        <v/>
      </c>
      <c r="H236" s="6">
        <f>IFERROR(G236/E236,"")</f>
        <v/>
      </c>
      <c r="I236" s="44" t="inlineStr">
        <is>
          <t>DOĞRU</t>
        </is>
      </c>
      <c r="J236" s="45" t="inlineStr">
        <is>
          <t>https://kur.doviz.com/serbest-piyasa/amerikan-dolari</t>
        </is>
      </c>
      <c r="K236" s="5" t="n">
        <v>1.1588</v>
      </c>
      <c r="L236" s="6" t="n">
        <v>0.0244</v>
      </c>
      <c r="M236" s="46" t="inlineStr"/>
      <c r="N236" s="47" t="n">
        <v>0.6023379629629629</v>
      </c>
    </row>
    <row r="237">
      <c r="A237" s="2" t="n">
        <v>46262</v>
      </c>
      <c r="B237" s="3" t="n">
        <v>0.6194560185185185</v>
      </c>
      <c r="C237" s="26" t="inlineStr">
        <is>
          <t>İş Bankası</t>
        </is>
      </c>
      <c r="D237" t="inlineStr">
        <is>
          <t>DOLAR</t>
        </is>
      </c>
      <c r="E237" s="5" t="n">
        <v>47.5348</v>
      </c>
      <c r="F237" s="5" t="n">
        <v>48.6931</v>
      </c>
      <c r="G237" s="5">
        <f>IF(OR(E237="",F237=""),"",F237-E237)</f>
        <v/>
      </c>
      <c r="H237" s="6">
        <f>IFERROR(G237/E237,"")</f>
        <v/>
      </c>
      <c r="I237" s="44" t="inlineStr">
        <is>
          <t>DOĞRU</t>
        </is>
      </c>
      <c r="J237" s="45" t="inlineStr">
        <is>
          <t>https://kur.doviz.com/serbest-piyasa/amerikan-dolari</t>
        </is>
      </c>
      <c r="K237" s="5" t="n">
        <v>1.1583</v>
      </c>
      <c r="L237" s="6" t="n">
        <v>0.0244</v>
      </c>
      <c r="M237" s="46" t="inlineStr"/>
      <c r="N237" s="47" t="n">
        <v>0.6196180555555556</v>
      </c>
    </row>
    <row r="238">
      <c r="A238" s="2" t="n">
        <v>46262</v>
      </c>
      <c r="B238" s="3" t="n">
        <v>0.5570949074074074</v>
      </c>
      <c r="C238" s="26" t="inlineStr">
        <is>
          <t>İş Bankası</t>
        </is>
      </c>
      <c r="D238" t="inlineStr">
        <is>
          <t>EURO</t>
        </is>
      </c>
      <c r="E238" s="5" t="n">
        <v>55.3259</v>
      </c>
      <c r="F238" s="5" t="n">
        <v>56.6789</v>
      </c>
      <c r="G238" s="5">
        <f>IF(OR(E238="",F238=""),"",F238-E238)</f>
        <v/>
      </c>
      <c r="H238" s="6">
        <f>IFERROR(G238/E238,"")</f>
        <v/>
      </c>
      <c r="I238" s="44" t="inlineStr">
        <is>
          <t>DOĞRU</t>
        </is>
      </c>
      <c r="J238" s="45" t="inlineStr">
        <is>
          <t>https://kur.doviz.com/serbest-piyasa/euro</t>
        </is>
      </c>
      <c r="K238" s="5" t="n">
        <v>1.353</v>
      </c>
      <c r="L238" s="6" t="n">
        <v>0.0245</v>
      </c>
      <c r="M238" s="46" t="inlineStr"/>
      <c r="N238" s="47" t="n">
        <v>0.5574074074074075</v>
      </c>
    </row>
    <row r="239">
      <c r="A239" s="2" t="n">
        <v>46262</v>
      </c>
      <c r="B239" s="3" t="n">
        <v>0.5665625</v>
      </c>
      <c r="C239" s="26" t="inlineStr">
        <is>
          <t>İş Bankası</t>
        </is>
      </c>
      <c r="D239" t="inlineStr">
        <is>
          <t>EURO</t>
        </is>
      </c>
      <c r="E239" s="5" t="n">
        <v>55.344</v>
      </c>
      <c r="F239" s="5" t="n">
        <v>56.6986</v>
      </c>
      <c r="G239" s="5">
        <f>IF(OR(E239="",F239=""),"",F239-E239)</f>
        <v/>
      </c>
      <c r="H239" s="6">
        <f>IFERROR(G239/E239,"")</f>
        <v/>
      </c>
      <c r="I239" s="44" t="inlineStr">
        <is>
          <t>DOĞRU</t>
        </is>
      </c>
      <c r="J239" s="45" t="inlineStr">
        <is>
          <t>https://kur.doviz.com/serbest-piyasa/euro</t>
        </is>
      </c>
      <c r="K239" s="5" t="n">
        <v>1.3546</v>
      </c>
      <c r="L239" s="6" t="n">
        <v>0.0245</v>
      </c>
      <c r="M239" s="46" t="inlineStr"/>
      <c r="N239" s="47" t="n">
        <v>0.5669097222222222</v>
      </c>
    </row>
    <row r="240">
      <c r="A240" s="2" t="n">
        <v>46262</v>
      </c>
      <c r="B240" s="3" t="n">
        <v>0.6021875</v>
      </c>
      <c r="C240" s="26" t="inlineStr">
        <is>
          <t>İş Bankası</t>
        </is>
      </c>
      <c r="D240" t="inlineStr">
        <is>
          <t>EURO</t>
        </is>
      </c>
      <c r="E240" s="5" t="n">
        <v>55.3539</v>
      </c>
      <c r="F240" s="5" t="n">
        <v>56.7082</v>
      </c>
      <c r="G240" s="5">
        <f>IF(OR(E240="",F240=""),"",F240-E240)</f>
        <v/>
      </c>
      <c r="H240" s="6">
        <f>IFERROR(G240/E240,"")</f>
        <v/>
      </c>
      <c r="I240" s="44" t="inlineStr">
        <is>
          <t>DOĞRU</t>
        </is>
      </c>
      <c r="J240" s="45" t="inlineStr">
        <is>
          <t>https://kur.doviz.com/serbest-piyasa/euro</t>
        </is>
      </c>
      <c r="K240" s="5" t="n">
        <v>1.3543</v>
      </c>
      <c r="L240" s="6" t="n">
        <v>0.0245</v>
      </c>
      <c r="M240" s="46" t="inlineStr"/>
      <c r="N240" s="47" t="n">
        <v>0.6024884259259259</v>
      </c>
    </row>
    <row r="241">
      <c r="A241" s="2" t="n">
        <v>46262</v>
      </c>
      <c r="B241" s="3" t="n">
        <v>0.6194560185185185</v>
      </c>
      <c r="C241" s="26" t="inlineStr">
        <is>
          <t>İş Bankası</t>
        </is>
      </c>
      <c r="D241" t="inlineStr">
        <is>
          <t>EURO</t>
        </is>
      </c>
      <c r="E241" s="5" t="n">
        <v>55.3447</v>
      </c>
      <c r="F241" s="5" t="n">
        <v>56.6983</v>
      </c>
      <c r="G241" s="5">
        <f>IF(OR(E241="",F241=""),"",F241-E241)</f>
        <v/>
      </c>
      <c r="H241" s="6">
        <f>IFERROR(G241/E241,"")</f>
        <v/>
      </c>
      <c r="I241" s="44" t="inlineStr">
        <is>
          <t>DOĞRU</t>
        </is>
      </c>
      <c r="J241" s="45" t="inlineStr">
        <is>
          <t>https://kur.doviz.com/serbest-piyasa/euro</t>
        </is>
      </c>
      <c r="K241" s="5" t="n">
        <v>1.35</v>
      </c>
      <c r="L241" s="6" t="n">
        <v>0.0245</v>
      </c>
      <c r="M241" s="46" t="inlineStr"/>
      <c r="N241" s="47" t="n">
        <v>0.6196990740740741</v>
      </c>
    </row>
    <row r="242">
      <c r="A242" s="2" t="n">
        <v>46262</v>
      </c>
      <c r="B242" s="3" t="n">
        <v>0.5570949074074074</v>
      </c>
      <c r="C242" s="26" t="inlineStr">
        <is>
          <t>İş Bankası</t>
        </is>
      </c>
      <c r="D242" t="inlineStr">
        <is>
          <t>GRAM_ALTIN</t>
        </is>
      </c>
      <c r="E242" s="5" t="n">
        <v>7013.18</v>
      </c>
      <c r="F242" s="5" t="n">
        <v>7206.08</v>
      </c>
      <c r="G242" s="5">
        <f>IF(OR(E242="",F242=""),"",F242-E242)</f>
        <v/>
      </c>
      <c r="H242" s="6">
        <f>IFERROR(G242/E242,"")</f>
        <v/>
      </c>
      <c r="I242" s="44" t="inlineStr">
        <is>
          <t>DOĞRU</t>
        </is>
      </c>
      <c r="J242" s="45" t="inlineStr">
        <is>
          <t>https://altin.doviz.com/gram-altin</t>
        </is>
      </c>
      <c r="K242" s="5" t="n">
        <v>192.9</v>
      </c>
      <c r="L242" s="6" t="n">
        <v>0.0275</v>
      </c>
      <c r="M242" s="46" t="inlineStr"/>
      <c r="N242" s="47" t="n">
        <v>0.5575578703703704</v>
      </c>
    </row>
    <row r="243">
      <c r="A243" s="2" t="n">
        <v>46262</v>
      </c>
      <c r="B243" s="3" t="n">
        <v>0.5665625</v>
      </c>
      <c r="C243" s="26" t="inlineStr">
        <is>
          <t>İş Bankası</t>
        </is>
      </c>
      <c r="D243" t="inlineStr">
        <is>
          <t>GRAM_ALTIN</t>
        </is>
      </c>
      <c r="E243" s="5" t="n">
        <v>7016.31</v>
      </c>
      <c r="F243" s="5" t="n">
        <v>7209.23</v>
      </c>
      <c r="G243" s="5">
        <f>IF(OR(E243="",F243=""),"",F243-E243)</f>
        <v/>
      </c>
      <c r="H243" s="6">
        <f>IFERROR(G243/E243,"")</f>
        <v/>
      </c>
      <c r="I243" s="44" t="inlineStr">
        <is>
          <t>DOĞRU</t>
        </is>
      </c>
      <c r="J243" s="45" t="inlineStr">
        <is>
          <t>https://altin.doviz.com/gram-altin</t>
        </is>
      </c>
      <c r="K243" s="5" t="n">
        <v>192.92</v>
      </c>
      <c r="L243" s="6" t="n">
        <v>0.0275</v>
      </c>
      <c r="M243" s="46" t="inlineStr"/>
      <c r="N243" s="47" t="n">
        <v>0.5670601851851852</v>
      </c>
    </row>
    <row r="244">
      <c r="A244" s="2" t="n">
        <v>46262</v>
      </c>
      <c r="B244" s="3" t="n">
        <v>0.6021875</v>
      </c>
      <c r="C244" s="26" t="inlineStr">
        <is>
          <t>İş Bankası</t>
        </is>
      </c>
      <c r="D244" t="inlineStr">
        <is>
          <t>GRAM_ALTIN</t>
        </is>
      </c>
      <c r="E244" s="5" t="n">
        <v>7006.35</v>
      </c>
      <c r="F244" s="5" t="n">
        <v>7198.82</v>
      </c>
      <c r="G244" s="5">
        <f>IF(OR(E244="",F244=""),"",F244-E244)</f>
        <v/>
      </c>
      <c r="H244" s="6">
        <f>IFERROR(G244/E244,"")</f>
        <v/>
      </c>
      <c r="I244" s="44" t="inlineStr">
        <is>
          <t>DOĞRU</t>
        </is>
      </c>
      <c r="J244" s="45" t="inlineStr">
        <is>
          <t>https://altin.doviz.com/gram-altin</t>
        </is>
      </c>
      <c r="K244" s="5" t="n">
        <v>192.47</v>
      </c>
      <c r="L244" s="6" t="n">
        <v>0.0275</v>
      </c>
      <c r="M244" s="46" t="inlineStr"/>
      <c r="N244" s="47" t="n">
        <v>0.6026388888888888</v>
      </c>
    </row>
    <row r="245">
      <c r="A245" s="2" t="n">
        <v>46262</v>
      </c>
      <c r="B245" s="3" t="n">
        <v>0.6194560185185185</v>
      </c>
      <c r="C245" s="26" t="inlineStr">
        <is>
          <t>İş Bankası</t>
        </is>
      </c>
      <c r="D245" t="inlineStr">
        <is>
          <t>GRAM_ALTIN</t>
        </is>
      </c>
      <c r="E245" s="5" t="n">
        <v>6996.14</v>
      </c>
      <c r="F245" s="5" t="n">
        <v>7188.51</v>
      </c>
      <c r="G245" s="5">
        <f>IF(OR(E245="",F245=""),"",F245-E245)</f>
        <v/>
      </c>
      <c r="H245" s="6">
        <f>IFERROR(G245/E245,"")</f>
        <v/>
      </c>
      <c r="I245" s="44" t="inlineStr">
        <is>
          <t>DOĞRU</t>
        </is>
      </c>
      <c r="J245" s="45" t="inlineStr">
        <is>
          <t>https://altin.doviz.com/gram-altin</t>
        </is>
      </c>
      <c r="K245" s="5" t="n">
        <v>192.37</v>
      </c>
      <c r="L245" s="6" t="n">
        <v>0.0275</v>
      </c>
      <c r="M245" s="46" t="inlineStr"/>
      <c r="N245" s="47" t="n">
        <v>0.619849537037037</v>
      </c>
    </row>
    <row r="246">
      <c r="A246" s="2" t="n">
        <v>46262</v>
      </c>
      <c r="B246" s="3" t="n">
        <v>0.5570949074074074</v>
      </c>
      <c r="C246" s="27" t="inlineStr">
        <is>
          <t>Kapalıçarşı</t>
        </is>
      </c>
      <c r="D246" t="inlineStr">
        <is>
          <t>DOLAR</t>
        </is>
      </c>
      <c r="E246" s="5" t="n">
        <v>48.06</v>
      </c>
      <c r="F246" s="5" t="n">
        <v>48.07</v>
      </c>
      <c r="G246" s="5">
        <f>IF(OR(E246="",F246=""),"",F246-E246)</f>
        <v/>
      </c>
      <c r="H246" s="6">
        <f>IFERROR(G246/E246,"")</f>
        <v/>
      </c>
      <c r="I246" s="44" t="inlineStr">
        <is>
          <t>DOĞRU</t>
        </is>
      </c>
      <c r="J246" s="45" t="inlineStr">
        <is>
          <t>https://kur.doviz.com/serbest-piyasa/amerikan-dolari</t>
        </is>
      </c>
      <c r="K246" s="5" t="n">
        <v>0.01</v>
      </c>
      <c r="L246" s="6" t="n">
        <v>0.0002</v>
      </c>
      <c r="M246" s="46" t="inlineStr"/>
      <c r="N246" s="47" t="n">
        <v>0.5572569444444444</v>
      </c>
    </row>
    <row r="247">
      <c r="A247" s="2" t="n">
        <v>46262</v>
      </c>
      <c r="B247" s="3" t="n">
        <v>0.5665625</v>
      </c>
      <c r="C247" s="27" t="inlineStr">
        <is>
          <t>Kapalıçarşı</t>
        </is>
      </c>
      <c r="D247" t="inlineStr">
        <is>
          <t>DOLAR</t>
        </is>
      </c>
      <c r="E247" s="5" t="n">
        <v>48.06</v>
      </c>
      <c r="F247" s="5" t="n">
        <v>48.07</v>
      </c>
      <c r="G247" s="5">
        <f>IF(OR(E247="",F247=""),"",F247-E247)</f>
        <v/>
      </c>
      <c r="H247" s="6">
        <f>IFERROR(G247/E247,"")</f>
        <v/>
      </c>
      <c r="I247" s="44" t="inlineStr">
        <is>
          <t>DOĞRU</t>
        </is>
      </c>
      <c r="J247" s="45" t="inlineStr">
        <is>
          <t>https://kur.doviz.com/serbest-piyasa/amerikan-dolari</t>
        </is>
      </c>
      <c r="K247" s="5" t="n">
        <v>0.01</v>
      </c>
      <c r="L247" s="6" t="n">
        <v>0.0002</v>
      </c>
      <c r="M247" s="46" t="inlineStr"/>
      <c r="N247" s="47" t="n">
        <v>0.5667592592592593</v>
      </c>
    </row>
    <row r="248">
      <c r="A248" s="2" t="n">
        <v>46262</v>
      </c>
      <c r="B248" s="3" t="n">
        <v>0.6021875</v>
      </c>
      <c r="C248" s="27" t="inlineStr">
        <is>
          <t>Kapalıçarşı</t>
        </is>
      </c>
      <c r="D248" t="inlineStr">
        <is>
          <t>DOLAR</t>
        </is>
      </c>
      <c r="E248" s="5" t="n">
        <v>48.08</v>
      </c>
      <c r="F248" s="5" t="n">
        <v>48.09</v>
      </c>
      <c r="G248" s="5">
        <f>IF(OR(E248="",F248=""),"",F248-E248)</f>
        <v/>
      </c>
      <c r="H248" s="6">
        <f>IFERROR(G248/E248,"")</f>
        <v/>
      </c>
      <c r="I248" s="44" t="inlineStr">
        <is>
          <t>DOĞRU</t>
        </is>
      </c>
      <c r="J248" s="45" t="inlineStr">
        <is>
          <t>https://kur.doviz.com/serbest-piyasa/amerikan-dolari</t>
        </is>
      </c>
      <c r="K248" s="5" t="n">
        <v>0.01</v>
      </c>
      <c r="L248" s="6" t="n">
        <v>0.0002</v>
      </c>
      <c r="M248" s="46" t="inlineStr"/>
      <c r="N248" s="47" t="n">
        <v>0.6023379629629629</v>
      </c>
    </row>
    <row r="249">
      <c r="A249" s="2" t="n">
        <v>46262</v>
      </c>
      <c r="B249" s="3" t="n">
        <v>0.6194560185185185</v>
      </c>
      <c r="C249" s="27" t="inlineStr">
        <is>
          <t>Kapalıçarşı</t>
        </is>
      </c>
      <c r="D249" t="inlineStr">
        <is>
          <t>DOLAR</t>
        </is>
      </c>
      <c r="E249" s="5" t="n">
        <v>48.09</v>
      </c>
      <c r="F249" s="5" t="n">
        <v>48.1</v>
      </c>
      <c r="G249" s="5">
        <f>IF(OR(E249="",F249=""),"",F249-E249)</f>
        <v/>
      </c>
      <c r="H249" s="6">
        <f>IFERROR(G249/E249,"")</f>
        <v/>
      </c>
      <c r="I249" s="44" t="inlineStr">
        <is>
          <t>DOĞRU</t>
        </is>
      </c>
      <c r="J249" s="45" t="inlineStr">
        <is>
          <t>https://kur.doviz.com/serbest-piyasa/amerikan-dolari</t>
        </is>
      </c>
      <c r="K249" s="5" t="n">
        <v>0.01</v>
      </c>
      <c r="L249" s="6" t="n">
        <v>0.0002</v>
      </c>
      <c r="M249" s="46" t="inlineStr"/>
      <c r="N249" s="47" t="n">
        <v>0.6196180555555556</v>
      </c>
    </row>
    <row r="250">
      <c r="A250" s="2" t="n">
        <v>46262</v>
      </c>
      <c r="B250" s="3" t="n">
        <v>0.5570949074074074</v>
      </c>
      <c r="C250" s="27" t="inlineStr">
        <is>
          <t>Kapalıçarşı</t>
        </is>
      </c>
      <c r="D250" t="inlineStr">
        <is>
          <t>EURO</t>
        </is>
      </c>
      <c r="E250" s="5" t="n">
        <v>55.85</v>
      </c>
      <c r="F250" s="5" t="n">
        <v>55.9</v>
      </c>
      <c r="G250" s="5">
        <f>IF(OR(E250="",F250=""),"",F250-E250)</f>
        <v/>
      </c>
      <c r="H250" s="6">
        <f>IFERROR(G250/E250,"")</f>
        <v/>
      </c>
      <c r="I250" s="44" t="inlineStr">
        <is>
          <t>DOĞRU</t>
        </is>
      </c>
      <c r="J250" s="45" t="inlineStr">
        <is>
          <t>https://kur.doviz.com/serbest-piyasa/euro</t>
        </is>
      </c>
      <c r="K250" s="5" t="n">
        <v>0.05</v>
      </c>
      <c r="L250" s="6" t="n">
        <v>0.0009</v>
      </c>
      <c r="M250" s="46" t="inlineStr"/>
      <c r="N250" s="47" t="n">
        <v>0.5574074074074075</v>
      </c>
    </row>
    <row r="251">
      <c r="A251" s="2" t="n">
        <v>46262</v>
      </c>
      <c r="B251" s="3" t="n">
        <v>0.5665625</v>
      </c>
      <c r="C251" s="27" t="inlineStr">
        <is>
          <t>Kapalıçarşı</t>
        </is>
      </c>
      <c r="D251" t="inlineStr">
        <is>
          <t>EURO</t>
        </is>
      </c>
      <c r="E251" s="5" t="n">
        <v>55.85</v>
      </c>
      <c r="F251" s="5" t="n">
        <v>55.9</v>
      </c>
      <c r="G251" s="5">
        <f>IF(OR(E251="",F251=""),"",F251-E251)</f>
        <v/>
      </c>
      <c r="H251" s="6">
        <f>IFERROR(G251/E251,"")</f>
        <v/>
      </c>
      <c r="I251" s="44" t="inlineStr">
        <is>
          <t>DOĞRU</t>
        </is>
      </c>
      <c r="J251" s="45" t="inlineStr">
        <is>
          <t>https://kur.doviz.com/serbest-piyasa/euro</t>
        </is>
      </c>
      <c r="K251" s="5" t="n">
        <v>0.05</v>
      </c>
      <c r="L251" s="6" t="n">
        <v>0.0009</v>
      </c>
      <c r="M251" s="46" t="inlineStr"/>
      <c r="N251" s="47" t="n">
        <v>0.5669097222222222</v>
      </c>
    </row>
    <row r="252">
      <c r="A252" s="2" t="n">
        <v>46262</v>
      </c>
      <c r="B252" s="3" t="n">
        <v>0.6021875</v>
      </c>
      <c r="C252" s="27" t="inlineStr">
        <is>
          <t>Kapalıçarşı</t>
        </is>
      </c>
      <c r="D252" t="inlineStr">
        <is>
          <t>EURO</t>
        </is>
      </c>
      <c r="E252" s="5" t="n">
        <v>55.9</v>
      </c>
      <c r="F252" s="5" t="n">
        <v>55.95</v>
      </c>
      <c r="G252" s="5">
        <f>IF(OR(E252="",F252=""),"",F252-E252)</f>
        <v/>
      </c>
      <c r="H252" s="6">
        <f>IFERROR(G252/E252,"")</f>
        <v/>
      </c>
      <c r="I252" s="44" t="inlineStr">
        <is>
          <t>DOĞRU</t>
        </is>
      </c>
      <c r="J252" s="45" t="inlineStr">
        <is>
          <t>https://kur.doviz.com/serbest-piyasa/euro</t>
        </is>
      </c>
      <c r="K252" s="5" t="n">
        <v>0.05</v>
      </c>
      <c r="L252" s="6" t="n">
        <v>0.0009</v>
      </c>
      <c r="M252" s="46" t="inlineStr"/>
      <c r="N252" s="47" t="n">
        <v>0.6024884259259259</v>
      </c>
    </row>
    <row r="253">
      <c r="A253" s="2" t="n">
        <v>46262</v>
      </c>
      <c r="B253" s="3" t="n">
        <v>0.6194560185185185</v>
      </c>
      <c r="C253" s="27" t="inlineStr">
        <is>
          <t>Kapalıçarşı</t>
        </is>
      </c>
      <c r="D253" t="inlineStr">
        <is>
          <t>EURO</t>
        </is>
      </c>
      <c r="E253" s="5" t="n">
        <v>55.9</v>
      </c>
      <c r="F253" s="5" t="n">
        <v>55.95</v>
      </c>
      <c r="G253" s="5">
        <f>IF(OR(E253="",F253=""),"",F253-E253)</f>
        <v/>
      </c>
      <c r="H253" s="6">
        <f>IFERROR(G253/E253,"")</f>
        <v/>
      </c>
      <c r="I253" s="44" t="inlineStr">
        <is>
          <t>DOĞRU</t>
        </is>
      </c>
      <c r="J253" s="45" t="inlineStr">
        <is>
          <t>https://kur.doviz.com/serbest-piyasa/euro</t>
        </is>
      </c>
      <c r="K253" s="5" t="n">
        <v>0.05</v>
      </c>
      <c r="L253" s="6" t="n">
        <v>0.0009</v>
      </c>
      <c r="M253" s="46" t="inlineStr"/>
      <c r="N253" s="47" t="n">
        <v>0.6196990740740741</v>
      </c>
    </row>
    <row r="254">
      <c r="A254" s="2" t="n">
        <v>46262</v>
      </c>
      <c r="B254" s="3" t="n">
        <v>0.5570949074074074</v>
      </c>
      <c r="C254" s="27" t="inlineStr">
        <is>
          <t>Kapalıçarşı</t>
        </is>
      </c>
      <c r="D254" t="inlineStr">
        <is>
          <t>GRAM_ALTIN</t>
        </is>
      </c>
      <c r="E254" s="5" t="n">
        <v>7085.83</v>
      </c>
      <c r="F254" s="5" t="n">
        <v>7092.14</v>
      </c>
      <c r="G254" s="5">
        <f>IF(OR(E254="",F254=""),"",F254-E254)</f>
        <v/>
      </c>
      <c r="H254" s="6">
        <f>IFERROR(G254/E254,"")</f>
        <v/>
      </c>
      <c r="I254" s="44" t="inlineStr">
        <is>
          <t>DOĞRU</t>
        </is>
      </c>
      <c r="J254" s="45" t="inlineStr">
        <is>
          <t>https://altin.doviz.com/gram-altin</t>
        </is>
      </c>
      <c r="K254" s="5" t="n">
        <v>6.31</v>
      </c>
      <c r="L254" s="6" t="n">
        <v>0.0009</v>
      </c>
      <c r="M254" s="46" t="inlineStr"/>
      <c r="N254" s="47" t="n">
        <v>0.5575578703703704</v>
      </c>
    </row>
    <row r="255">
      <c r="A255" s="2" t="n">
        <v>46262</v>
      </c>
      <c r="B255" s="3" t="n">
        <v>0.5665625</v>
      </c>
      <c r="C255" s="27" t="inlineStr">
        <is>
          <t>Kapalıçarşı</t>
        </is>
      </c>
      <c r="D255" t="inlineStr">
        <is>
          <t>GRAM_ALTIN</t>
        </is>
      </c>
      <c r="E255" s="5" t="n">
        <v>7085.83</v>
      </c>
      <c r="F255" s="5" t="n">
        <v>7092.14</v>
      </c>
      <c r="G255" s="5">
        <f>IF(OR(E255="",F255=""),"",F255-E255)</f>
        <v/>
      </c>
      <c r="H255" s="6">
        <f>IFERROR(G255/E255,"")</f>
        <v/>
      </c>
      <c r="I255" s="44" t="inlineStr">
        <is>
          <t>DOĞRU</t>
        </is>
      </c>
      <c r="J255" s="45" t="inlineStr">
        <is>
          <t>https://altin.doviz.com/gram-altin</t>
        </is>
      </c>
      <c r="K255" s="5" t="n">
        <v>6.31</v>
      </c>
      <c r="L255" s="6" t="n">
        <v>0.0009</v>
      </c>
      <c r="M255" s="46" t="inlineStr"/>
      <c r="N255" s="47" t="n">
        <v>0.5670601851851852</v>
      </c>
    </row>
    <row r="256">
      <c r="A256" s="2" t="n">
        <v>46262</v>
      </c>
      <c r="B256" s="3" t="n">
        <v>0.6021875</v>
      </c>
      <c r="C256" s="27" t="inlineStr">
        <is>
          <t>Kapalıçarşı</t>
        </is>
      </c>
      <c r="D256" t="inlineStr">
        <is>
          <t>GRAM_ALTIN</t>
        </is>
      </c>
      <c r="E256" s="5" t="n">
        <v>7076.7</v>
      </c>
      <c r="F256" s="5" t="n">
        <v>7083.01</v>
      </c>
      <c r="G256" s="5">
        <f>IF(OR(E256="",F256=""),"",F256-E256)</f>
        <v/>
      </c>
      <c r="H256" s="6">
        <f>IFERROR(G256/E256,"")</f>
        <v/>
      </c>
      <c r="I256" s="44" t="inlineStr">
        <is>
          <t>DOĞRU</t>
        </is>
      </c>
      <c r="J256" s="45" t="inlineStr">
        <is>
          <t>https://altin.doviz.com/gram-altin</t>
        </is>
      </c>
      <c r="K256" s="5" t="n">
        <v>6.31</v>
      </c>
      <c r="L256" s="6" t="n">
        <v>0.0009</v>
      </c>
      <c r="M256" s="46" t="inlineStr"/>
      <c r="N256" s="47" t="n">
        <v>0.6026388888888888</v>
      </c>
    </row>
    <row r="257">
      <c r="A257" s="2" t="n">
        <v>46262</v>
      </c>
      <c r="B257" s="3" t="n">
        <v>0.6194560185185185</v>
      </c>
      <c r="C257" s="27" t="inlineStr">
        <is>
          <t>Kapalıçarşı</t>
        </is>
      </c>
      <c r="D257" t="inlineStr">
        <is>
          <t>GRAM_ALTIN</t>
        </is>
      </c>
      <c r="E257" s="5" t="n">
        <v>7068.51</v>
      </c>
      <c r="F257" s="5" t="n">
        <v>7074.81</v>
      </c>
      <c r="G257" s="5">
        <f>IF(OR(E257="",F257=""),"",F257-E257)</f>
        <v/>
      </c>
      <c r="H257" s="6">
        <f>IFERROR(G257/E257,"")</f>
        <v/>
      </c>
      <c r="I257" s="44" t="inlineStr">
        <is>
          <t>DOĞRU</t>
        </is>
      </c>
      <c r="J257" s="45" t="inlineStr">
        <is>
          <t>https://altin.doviz.com/gram-altin</t>
        </is>
      </c>
      <c r="K257" s="5" t="n">
        <v>6.3</v>
      </c>
      <c r="L257" s="6" t="n">
        <v>0.0009</v>
      </c>
      <c r="M257" s="46" t="inlineStr"/>
      <c r="N257" s="47" t="n">
        <v>0.619849537037037</v>
      </c>
    </row>
    <row r="258">
      <c r="A258" s="2" t="n">
        <v>46262</v>
      </c>
      <c r="B258" s="3" t="n">
        <v>0.5570949074074074</v>
      </c>
      <c r="C258" s="28" t="inlineStr">
        <is>
          <t>Kuveyt Türk</t>
        </is>
      </c>
      <c r="D258" t="inlineStr">
        <is>
          <t>DOLAR</t>
        </is>
      </c>
      <c r="E258" s="5" t="n">
        <v>47.4538</v>
      </c>
      <c r="F258" s="5" t="n">
        <v>48.4713</v>
      </c>
      <c r="G258" s="5">
        <f>IF(OR(E258="",F258=""),"",F258-E258)</f>
        <v/>
      </c>
      <c r="H258" s="6">
        <f>IFERROR(G258/E258,"")</f>
        <v/>
      </c>
      <c r="I258" s="44" t="inlineStr">
        <is>
          <t>DOĞRU</t>
        </is>
      </c>
      <c r="J258" s="45" t="inlineStr">
        <is>
          <t>https://kur.doviz.com/serbest-piyasa/amerikan-dolari</t>
        </is>
      </c>
      <c r="K258" s="5" t="n">
        <v>1.0176</v>
      </c>
      <c r="L258" s="6" t="n">
        <v>0.0214</v>
      </c>
      <c r="M258" s="46" t="inlineStr"/>
      <c r="N258" s="47" t="n">
        <v>0.5572569444444444</v>
      </c>
    </row>
    <row r="259">
      <c r="A259" s="2" t="n">
        <v>46262</v>
      </c>
      <c r="B259" s="3" t="n">
        <v>0.5665625</v>
      </c>
      <c r="C259" s="28" t="inlineStr">
        <is>
          <t>Kuveyt Türk</t>
        </is>
      </c>
      <c r="D259" t="inlineStr">
        <is>
          <t>DOLAR</t>
        </is>
      </c>
      <c r="E259" s="5" t="n">
        <v>47.4536</v>
      </c>
      <c r="F259" s="5" t="n">
        <v>48.471</v>
      </c>
      <c r="G259" s="5">
        <f>IF(OR(E259="",F259=""),"",F259-E259)</f>
        <v/>
      </c>
      <c r="H259" s="6">
        <f>IFERROR(G259/E259,"")</f>
        <v/>
      </c>
      <c r="I259" s="44" t="inlineStr">
        <is>
          <t>DOĞRU</t>
        </is>
      </c>
      <c r="J259" s="45" t="inlineStr">
        <is>
          <t>https://kur.doviz.com/serbest-piyasa/amerikan-dolari</t>
        </is>
      </c>
      <c r="K259" s="5" t="n">
        <v>1.0174</v>
      </c>
      <c r="L259" s="6" t="n">
        <v>0.0214</v>
      </c>
      <c r="M259" s="46" t="inlineStr"/>
      <c r="N259" s="47" t="n">
        <v>0.5667592592592593</v>
      </c>
    </row>
    <row r="260">
      <c r="A260" s="2" t="n">
        <v>46262</v>
      </c>
      <c r="B260" s="3" t="n">
        <v>0.6021875</v>
      </c>
      <c r="C260" s="28" t="inlineStr">
        <is>
          <t>Kuveyt Türk</t>
        </is>
      </c>
      <c r="D260" t="inlineStr">
        <is>
          <t>DOLAR</t>
        </is>
      </c>
      <c r="E260" s="5" t="n">
        <v>47.4533</v>
      </c>
      <c r="F260" s="5" t="n">
        <v>48.4712</v>
      </c>
      <c r="G260" s="5">
        <f>IF(OR(E260="",F260=""),"",F260-E260)</f>
        <v/>
      </c>
      <c r="H260" s="6">
        <f>IFERROR(G260/E260,"")</f>
        <v/>
      </c>
      <c r="I260" s="44" t="inlineStr">
        <is>
          <t>DOĞRU</t>
        </is>
      </c>
      <c r="J260" s="45" t="inlineStr">
        <is>
          <t>https://kur.doviz.com/serbest-piyasa/amerikan-dolari</t>
        </is>
      </c>
      <c r="K260" s="5" t="n">
        <v>1.0178</v>
      </c>
      <c r="L260" s="6" t="n">
        <v>0.0214</v>
      </c>
      <c r="M260" s="46" t="inlineStr"/>
      <c r="N260" s="47" t="n">
        <v>0.6023379629629629</v>
      </c>
    </row>
    <row r="261">
      <c r="A261" s="2" t="n">
        <v>46262</v>
      </c>
      <c r="B261" s="3" t="n">
        <v>0.6194560185185185</v>
      </c>
      <c r="C261" s="28" t="inlineStr">
        <is>
          <t>Kuveyt Türk</t>
        </is>
      </c>
      <c r="D261" t="inlineStr">
        <is>
          <t>DOLAR</t>
        </is>
      </c>
      <c r="E261" s="5" t="n">
        <v>47.4533</v>
      </c>
      <c r="F261" s="5" t="n">
        <v>48.471</v>
      </c>
      <c r="G261" s="5">
        <f>IF(OR(E261="",F261=""),"",F261-E261)</f>
        <v/>
      </c>
      <c r="H261" s="6">
        <f>IFERROR(G261/E261,"")</f>
        <v/>
      </c>
      <c r="I261" s="44" t="inlineStr">
        <is>
          <t>DOĞRU</t>
        </is>
      </c>
      <c r="J261" s="45" t="inlineStr">
        <is>
          <t>https://kur.doviz.com/serbest-piyasa/amerikan-dolari</t>
        </is>
      </c>
      <c r="K261" s="5" t="n">
        <v>1.0176</v>
      </c>
      <c r="L261" s="6" t="n">
        <v>0.0214</v>
      </c>
      <c r="M261" s="46" t="inlineStr"/>
      <c r="N261" s="47" t="n">
        <v>0.6196180555555556</v>
      </c>
    </row>
    <row r="262">
      <c r="A262" s="2" t="n">
        <v>46262</v>
      </c>
      <c r="B262" s="3" t="n">
        <v>0.5570949074074074</v>
      </c>
      <c r="C262" s="28" t="inlineStr">
        <is>
          <t>Kuveyt Türk</t>
        </is>
      </c>
      <c r="D262" t="inlineStr">
        <is>
          <t>EURO</t>
        </is>
      </c>
      <c r="E262" s="5" t="n">
        <v>55.2381</v>
      </c>
      <c r="F262" s="5" t="n">
        <v>56.4231</v>
      </c>
      <c r="G262" s="5">
        <f>IF(OR(E262="",F262=""),"",F262-E262)</f>
        <v/>
      </c>
      <c r="H262" s="6">
        <f>IFERROR(G262/E262,"")</f>
        <v/>
      </c>
      <c r="I262" s="44" t="inlineStr">
        <is>
          <t>DOĞRU</t>
        </is>
      </c>
      <c r="J262" s="45" t="inlineStr">
        <is>
          <t>https://kur.doviz.com/serbest-piyasa/euro</t>
        </is>
      </c>
      <c r="K262" s="5" t="n">
        <v>1.185</v>
      </c>
      <c r="L262" s="6" t="n">
        <v>0.0215</v>
      </c>
      <c r="M262" s="46" t="inlineStr"/>
      <c r="N262" s="47" t="n">
        <v>0.5574074074074075</v>
      </c>
    </row>
    <row r="263">
      <c r="A263" s="2" t="n">
        <v>46262</v>
      </c>
      <c r="B263" s="3" t="n">
        <v>0.5665625</v>
      </c>
      <c r="C263" s="28" t="inlineStr">
        <is>
          <t>Kuveyt Türk</t>
        </is>
      </c>
      <c r="D263" t="inlineStr">
        <is>
          <t>EURO</t>
        </is>
      </c>
      <c r="E263" s="5" t="n">
        <v>55.263</v>
      </c>
      <c r="F263" s="5" t="n">
        <v>56.4483</v>
      </c>
      <c r="G263" s="5">
        <f>IF(OR(E263="",F263=""),"",F263-E263)</f>
        <v/>
      </c>
      <c r="H263" s="6">
        <f>IFERROR(G263/E263,"")</f>
        <v/>
      </c>
      <c r="I263" s="44" t="inlineStr">
        <is>
          <t>DOĞRU</t>
        </is>
      </c>
      <c r="J263" s="45" t="inlineStr">
        <is>
          <t>https://kur.doviz.com/serbest-piyasa/euro</t>
        </is>
      </c>
      <c r="K263" s="5" t="n">
        <v>1.1853</v>
      </c>
      <c r="L263" s="6" t="n">
        <v>0.0214</v>
      </c>
      <c r="M263" s="46" t="inlineStr"/>
      <c r="N263" s="47" t="n">
        <v>0.5669097222222222</v>
      </c>
    </row>
    <row r="264">
      <c r="A264" s="2" t="n">
        <v>46262</v>
      </c>
      <c r="B264" s="3" t="n">
        <v>0.6021875</v>
      </c>
      <c r="C264" s="28" t="inlineStr">
        <is>
          <t>Kuveyt Türk</t>
        </is>
      </c>
      <c r="D264" t="inlineStr">
        <is>
          <t>EURO</t>
        </is>
      </c>
      <c r="E264" s="5" t="n">
        <v>55.2674</v>
      </c>
      <c r="F264" s="5" t="n">
        <v>56.4534</v>
      </c>
      <c r="G264" s="5">
        <f>IF(OR(E264="",F264=""),"",F264-E264)</f>
        <v/>
      </c>
      <c r="H264" s="6">
        <f>IFERROR(G264/E264,"")</f>
        <v/>
      </c>
      <c r="I264" s="44" t="inlineStr">
        <is>
          <t>DOĞRU</t>
        </is>
      </c>
      <c r="J264" s="45" t="inlineStr">
        <is>
          <t>https://kur.doviz.com/serbest-piyasa/euro</t>
        </is>
      </c>
      <c r="K264" s="5" t="n">
        <v>1.1859</v>
      </c>
      <c r="L264" s="6" t="n">
        <v>0.0215</v>
      </c>
      <c r="M264" s="46" t="inlineStr"/>
      <c r="N264" s="47" t="n">
        <v>0.6024884259259259</v>
      </c>
    </row>
    <row r="265">
      <c r="A265" s="2" t="n">
        <v>46262</v>
      </c>
      <c r="B265" s="3" t="n">
        <v>0.6194560185185185</v>
      </c>
      <c r="C265" s="28" t="inlineStr">
        <is>
          <t>Kuveyt Türk</t>
        </is>
      </c>
      <c r="D265" t="inlineStr">
        <is>
          <t>EURO</t>
        </is>
      </c>
      <c r="E265" s="5" t="n">
        <v>55.2655</v>
      </c>
      <c r="F265" s="5" t="n">
        <v>56.4512</v>
      </c>
      <c r="G265" s="5">
        <f>IF(OR(E265="",F265=""),"",F265-E265)</f>
        <v/>
      </c>
      <c r="H265" s="6">
        <f>IFERROR(G265/E265,"")</f>
        <v/>
      </c>
      <c r="I265" s="44" t="inlineStr">
        <is>
          <t>DOĞRU</t>
        </is>
      </c>
      <c r="J265" s="45" t="inlineStr">
        <is>
          <t>https://kur.doviz.com/serbest-piyasa/euro</t>
        </is>
      </c>
      <c r="K265" s="5" t="n">
        <v>1.19</v>
      </c>
      <c r="L265" s="6" t="n">
        <v>0.0215</v>
      </c>
      <c r="M265" s="46" t="inlineStr"/>
      <c r="N265" s="47" t="n">
        <v>0.6196990740740741</v>
      </c>
    </row>
    <row r="266">
      <c r="A266" s="2" t="n">
        <v>46262</v>
      </c>
      <c r="B266" s="3" t="n">
        <v>0.5570949074074074</v>
      </c>
      <c r="C266" s="28" t="inlineStr">
        <is>
          <t>Kuveyt Türk</t>
        </is>
      </c>
      <c r="D266" t="inlineStr">
        <is>
          <t>GRAM_ALTIN</t>
        </is>
      </c>
      <c r="E266" s="5" t="n">
        <v>6966.83</v>
      </c>
      <c r="F266" s="5" t="n">
        <v>7151.86</v>
      </c>
      <c r="G266" s="5">
        <f>IF(OR(E266="",F266=""),"",F266-E266)</f>
        <v/>
      </c>
      <c r="H266" s="6">
        <f>IFERROR(G266/E266,"")</f>
        <v/>
      </c>
      <c r="I266" s="44" t="inlineStr">
        <is>
          <t>DOĞRU</t>
        </is>
      </c>
      <c r="J266" s="45" t="inlineStr">
        <is>
          <t>https://altin.doviz.com/gram-altin</t>
        </is>
      </c>
      <c r="K266" s="5" t="n">
        <v>185.04</v>
      </c>
      <c r="L266" s="6" t="n">
        <v>0.0266</v>
      </c>
      <c r="M266" s="46" t="inlineStr"/>
      <c r="N266" s="47" t="n">
        <v>0.5575578703703704</v>
      </c>
    </row>
    <row r="267">
      <c r="A267" s="2" t="n">
        <v>46262</v>
      </c>
      <c r="B267" s="3" t="n">
        <v>0.5665625</v>
      </c>
      <c r="C267" s="28" t="inlineStr">
        <is>
          <t>Kuveyt Türk</t>
        </is>
      </c>
      <c r="D267" t="inlineStr">
        <is>
          <t>GRAM_ALTIN</t>
        </is>
      </c>
      <c r="E267" s="5" t="n">
        <v>6971.17</v>
      </c>
      <c r="F267" s="5" t="n">
        <v>7156.37</v>
      </c>
      <c r="G267" s="5">
        <f>IF(OR(E267="",F267=""),"",F267-E267)</f>
        <v/>
      </c>
      <c r="H267" s="6">
        <f>IFERROR(G267/E267,"")</f>
        <v/>
      </c>
      <c r="I267" s="44" t="inlineStr">
        <is>
          <t>DOĞRU</t>
        </is>
      </c>
      <c r="J267" s="45" t="inlineStr">
        <is>
          <t>https://altin.doviz.com/gram-altin</t>
        </is>
      </c>
      <c r="K267" s="5" t="n">
        <v>185.19</v>
      </c>
      <c r="L267" s="6" t="n">
        <v>0.0266</v>
      </c>
      <c r="M267" s="46" t="inlineStr"/>
      <c r="N267" s="47" t="n">
        <v>0.5670601851851852</v>
      </c>
    </row>
    <row r="268">
      <c r="A268" s="2" t="n">
        <v>46262</v>
      </c>
      <c r="B268" s="3" t="n">
        <v>0.6021875</v>
      </c>
      <c r="C268" s="28" t="inlineStr">
        <is>
          <t>Kuveyt Türk</t>
        </is>
      </c>
      <c r="D268" t="inlineStr">
        <is>
          <t>GRAM_ALTIN</t>
        </is>
      </c>
      <c r="E268" s="5" t="n">
        <v>6960.86</v>
      </c>
      <c r="F268" s="5" t="n">
        <v>7145.97</v>
      </c>
      <c r="G268" s="5">
        <f>IF(OR(E268="",F268=""),"",F268-E268)</f>
        <v/>
      </c>
      <c r="H268" s="6">
        <f>IFERROR(G268/E268,"")</f>
        <v/>
      </c>
      <c r="I268" s="44" t="inlineStr">
        <is>
          <t>DOĞRU</t>
        </is>
      </c>
      <c r="J268" s="45" t="inlineStr">
        <is>
          <t>https://altin.doviz.com/gram-altin</t>
        </is>
      </c>
      <c r="K268" s="5" t="n">
        <v>185.1</v>
      </c>
      <c r="L268" s="6" t="n">
        <v>0.0266</v>
      </c>
      <c r="M268" s="46" t="inlineStr"/>
      <c r="N268" s="47" t="n">
        <v>0.6026388888888888</v>
      </c>
    </row>
    <row r="269">
      <c r="A269" s="2" t="n">
        <v>46262</v>
      </c>
      <c r="B269" s="3" t="n">
        <v>0.6194560185185185</v>
      </c>
      <c r="C269" s="28" t="inlineStr">
        <is>
          <t>Kuveyt Türk</t>
        </is>
      </c>
      <c r="D269" t="inlineStr">
        <is>
          <t>GRAM_ALTIN</t>
        </is>
      </c>
      <c r="E269" s="5" t="n">
        <v>6952.2</v>
      </c>
      <c r="F269" s="5" t="n">
        <v>7137.07</v>
      </c>
      <c r="G269" s="5">
        <f>IF(OR(E269="",F269=""),"",F269-E269)</f>
        <v/>
      </c>
      <c r="H269" s="6">
        <f>IFERROR(G269/E269,"")</f>
        <v/>
      </c>
      <c r="I269" s="44" t="inlineStr">
        <is>
          <t>DOĞRU</t>
        </is>
      </c>
      <c r="J269" s="45" t="inlineStr">
        <is>
          <t>https://altin.doviz.com/gram-altin</t>
        </is>
      </c>
      <c r="K269" s="5" t="n">
        <v>184.87</v>
      </c>
      <c r="L269" s="6" t="n">
        <v>0.0266</v>
      </c>
      <c r="M269" s="46" t="inlineStr"/>
      <c r="N269" s="47" t="n">
        <v>0.619849537037037</v>
      </c>
    </row>
    <row r="270">
      <c r="A270" s="2" t="n">
        <v>46262</v>
      </c>
      <c r="B270" s="3" t="n">
        <v>0.5570949074074074</v>
      </c>
      <c r="C270" s="29" t="inlineStr">
        <is>
          <t>Merkez Bankası</t>
        </is>
      </c>
      <c r="D270" t="inlineStr">
        <is>
          <t>DOLAR</t>
        </is>
      </c>
      <c r="E270" s="5" t="n">
        <v>48.0466</v>
      </c>
      <c r="F270" s="5" t="n">
        <v>48.1331</v>
      </c>
      <c r="G270" s="5">
        <f>IF(OR(E270="",F270=""),"",F270-E270)</f>
        <v/>
      </c>
      <c r="H270" s="6">
        <f>IFERROR(G270/E270,"")</f>
        <v/>
      </c>
      <c r="I270" s="44" t="inlineStr">
        <is>
          <t>DOĞRU</t>
        </is>
      </c>
      <c r="J270" s="45" t="inlineStr">
        <is>
          <t>https://kur.doviz.com/serbest-piyasa/amerikan-dolari</t>
        </is>
      </c>
      <c r="K270" s="5" t="n">
        <v>0.08649999999999999</v>
      </c>
      <c r="L270" s="6" t="n">
        <v>0.0018</v>
      </c>
      <c r="M270" s="46" t="inlineStr"/>
      <c r="N270" s="47" t="n">
        <v>0.5572569444444444</v>
      </c>
    </row>
    <row r="271">
      <c r="A271" s="2" t="n">
        <v>46262</v>
      </c>
      <c r="B271" s="3" t="n">
        <v>0.5665625</v>
      </c>
      <c r="C271" s="29" t="inlineStr">
        <is>
          <t>Merkez Bankası</t>
        </is>
      </c>
      <c r="D271" t="inlineStr">
        <is>
          <t>DOLAR</t>
        </is>
      </c>
      <c r="E271" s="5" t="n">
        <v>48.0466</v>
      </c>
      <c r="F271" s="5" t="n">
        <v>48.1331</v>
      </c>
      <c r="G271" s="5">
        <f>IF(OR(E271="",F271=""),"",F271-E271)</f>
        <v/>
      </c>
      <c r="H271" s="6">
        <f>IFERROR(G271/E271,"")</f>
        <v/>
      </c>
      <c r="I271" s="44" t="inlineStr">
        <is>
          <t>DOĞRU</t>
        </is>
      </c>
      <c r="J271" s="45" t="inlineStr">
        <is>
          <t>https://kur.doviz.com/serbest-piyasa/amerikan-dolari</t>
        </is>
      </c>
      <c r="K271" s="5" t="n">
        <v>0.08649999999999999</v>
      </c>
      <c r="L271" s="6" t="n">
        <v>0.0018</v>
      </c>
      <c r="M271" s="46" t="inlineStr"/>
      <c r="N271" s="47" t="n">
        <v>0.5667592592592593</v>
      </c>
    </row>
    <row r="272">
      <c r="A272" s="2" t="n">
        <v>46262</v>
      </c>
      <c r="B272" s="3" t="n">
        <v>0.6021875</v>
      </c>
      <c r="C272" s="29" t="inlineStr">
        <is>
          <t>Merkez Bankası</t>
        </is>
      </c>
      <c r="D272" t="inlineStr">
        <is>
          <t>DOLAR</t>
        </is>
      </c>
      <c r="E272" s="5" t="n">
        <v>48.0466</v>
      </c>
      <c r="F272" s="5" t="n">
        <v>48.1331</v>
      </c>
      <c r="G272" s="5">
        <f>IF(OR(E272="",F272=""),"",F272-E272)</f>
        <v/>
      </c>
      <c r="H272" s="6">
        <f>IFERROR(G272/E272,"")</f>
        <v/>
      </c>
      <c r="I272" s="44" t="inlineStr">
        <is>
          <t>DOĞRU</t>
        </is>
      </c>
      <c r="J272" s="45" t="inlineStr">
        <is>
          <t>https://kur.doviz.com/serbest-piyasa/amerikan-dolari</t>
        </is>
      </c>
      <c r="K272" s="5" t="n">
        <v>0.08649999999999999</v>
      </c>
      <c r="L272" s="6" t="n">
        <v>0.0018</v>
      </c>
      <c r="M272" s="46" t="inlineStr"/>
      <c r="N272" s="47" t="n">
        <v>0.6023379629629629</v>
      </c>
    </row>
    <row r="273">
      <c r="A273" s="2" t="n">
        <v>46262</v>
      </c>
      <c r="B273" s="3" t="n">
        <v>0.6194560185185185</v>
      </c>
      <c r="C273" s="29" t="inlineStr">
        <is>
          <t>Merkez Bankası</t>
        </is>
      </c>
      <c r="D273" t="inlineStr">
        <is>
          <t>DOLAR</t>
        </is>
      </c>
      <c r="E273" s="5" t="n">
        <v>48.0466</v>
      </c>
      <c r="F273" s="5" t="n">
        <v>48.1331</v>
      </c>
      <c r="G273" s="5">
        <f>IF(OR(E273="",F273=""),"",F273-E273)</f>
        <v/>
      </c>
      <c r="H273" s="6">
        <f>IFERROR(G273/E273,"")</f>
        <v/>
      </c>
      <c r="I273" s="44" t="inlineStr">
        <is>
          <t>DOĞRU</t>
        </is>
      </c>
      <c r="J273" s="45" t="inlineStr">
        <is>
          <t>https://kur.doviz.com/serbest-piyasa/amerikan-dolari</t>
        </is>
      </c>
      <c r="K273" s="5" t="n">
        <v>0.08649999999999999</v>
      </c>
      <c r="L273" s="6" t="n">
        <v>0.0018</v>
      </c>
      <c r="M273" s="46" t="inlineStr"/>
      <c r="N273" s="47" t="n">
        <v>0.6196180555555556</v>
      </c>
    </row>
    <row r="274">
      <c r="A274" s="2" t="n">
        <v>46262</v>
      </c>
      <c r="B274" s="3" t="n">
        <v>0.5570949074074074</v>
      </c>
      <c r="C274" s="29" t="inlineStr">
        <is>
          <t>Merkez Bankası</t>
        </is>
      </c>
      <c r="D274" t="inlineStr">
        <is>
          <t>EURO</t>
        </is>
      </c>
      <c r="E274" s="5" t="n">
        <v>55.9574</v>
      </c>
      <c r="F274" s="5" t="n">
        <v>56.0582</v>
      </c>
      <c r="G274" s="5">
        <f>IF(OR(E274="",F274=""),"",F274-E274)</f>
        <v/>
      </c>
      <c r="H274" s="6">
        <f>IFERROR(G274/E274,"")</f>
        <v/>
      </c>
      <c r="I274" s="44" t="inlineStr">
        <is>
          <t>DOĞRU</t>
        </is>
      </c>
      <c r="J274" s="45" t="inlineStr">
        <is>
          <t>https://kur.doviz.com/serbest-piyasa/euro</t>
        </is>
      </c>
      <c r="K274" s="5" t="n">
        <v>0.1008</v>
      </c>
      <c r="L274" s="6" t="n">
        <v>0.0018</v>
      </c>
      <c r="M274" s="46" t="inlineStr"/>
      <c r="N274" s="47" t="n">
        <v>0.5574074074074075</v>
      </c>
    </row>
    <row r="275">
      <c r="A275" s="2" t="n">
        <v>46262</v>
      </c>
      <c r="B275" s="3" t="n">
        <v>0.5665625</v>
      </c>
      <c r="C275" s="29" t="inlineStr">
        <is>
          <t>Merkez Bankası</t>
        </is>
      </c>
      <c r="D275" t="inlineStr">
        <is>
          <t>EURO</t>
        </is>
      </c>
      <c r="E275" s="5" t="n">
        <v>55.9574</v>
      </c>
      <c r="F275" s="5" t="n">
        <v>56.0582</v>
      </c>
      <c r="G275" s="5">
        <f>IF(OR(E275="",F275=""),"",F275-E275)</f>
        <v/>
      </c>
      <c r="H275" s="6">
        <f>IFERROR(G275/E275,"")</f>
        <v/>
      </c>
      <c r="I275" s="44" t="inlineStr">
        <is>
          <t>DOĞRU</t>
        </is>
      </c>
      <c r="J275" s="45" t="inlineStr">
        <is>
          <t>https://kur.doviz.com/serbest-piyasa/euro</t>
        </is>
      </c>
      <c r="K275" s="5" t="n">
        <v>0.1008</v>
      </c>
      <c r="L275" s="6" t="n">
        <v>0.0018</v>
      </c>
      <c r="M275" s="46" t="inlineStr"/>
      <c r="N275" s="47" t="n">
        <v>0.5669097222222222</v>
      </c>
    </row>
    <row r="276">
      <c r="A276" s="2" t="n">
        <v>46262</v>
      </c>
      <c r="B276" s="3" t="n">
        <v>0.6021875</v>
      </c>
      <c r="C276" s="29" t="inlineStr">
        <is>
          <t>Merkez Bankası</t>
        </is>
      </c>
      <c r="D276" t="inlineStr">
        <is>
          <t>EURO</t>
        </is>
      </c>
      <c r="E276" s="5" t="n">
        <v>55.9574</v>
      </c>
      <c r="F276" s="5" t="n">
        <v>56.0582</v>
      </c>
      <c r="G276" s="5">
        <f>IF(OR(E276="",F276=""),"",F276-E276)</f>
        <v/>
      </c>
      <c r="H276" s="6">
        <f>IFERROR(G276/E276,"")</f>
        <v/>
      </c>
      <c r="I276" s="44" t="inlineStr">
        <is>
          <t>DOĞRU</t>
        </is>
      </c>
      <c r="J276" s="45" t="inlineStr">
        <is>
          <t>https://kur.doviz.com/serbest-piyasa/euro</t>
        </is>
      </c>
      <c r="K276" s="5" t="n">
        <v>0.1008</v>
      </c>
      <c r="L276" s="6" t="n">
        <v>0.0018</v>
      </c>
      <c r="M276" s="46" t="inlineStr"/>
      <c r="N276" s="47" t="n">
        <v>0.6024884259259259</v>
      </c>
    </row>
    <row r="277">
      <c r="A277" s="2" t="n">
        <v>46262</v>
      </c>
      <c r="B277" s="3" t="n">
        <v>0.6194560185185185</v>
      </c>
      <c r="C277" s="29" t="inlineStr">
        <is>
          <t>Merkez Bankası</t>
        </is>
      </c>
      <c r="D277" t="inlineStr">
        <is>
          <t>EURO</t>
        </is>
      </c>
      <c r="E277" s="5" t="n">
        <v>55.9574</v>
      </c>
      <c r="F277" s="5" t="n">
        <v>56.0582</v>
      </c>
      <c r="G277" s="5">
        <f>IF(OR(E277="",F277=""),"",F277-E277)</f>
        <v/>
      </c>
      <c r="H277" s="6">
        <f>IFERROR(G277/E277,"")</f>
        <v/>
      </c>
      <c r="I277" s="44" t="inlineStr">
        <is>
          <t>DOĞRU</t>
        </is>
      </c>
      <c r="J277" s="45" t="inlineStr">
        <is>
          <t>https://kur.doviz.com/serbest-piyasa/euro</t>
        </is>
      </c>
      <c r="K277" s="5" t="n">
        <v>0.1</v>
      </c>
      <c r="L277" s="6" t="n">
        <v>0.0018</v>
      </c>
      <c r="M277" s="46" t="inlineStr"/>
      <c r="N277" s="47" t="n">
        <v>0.6196990740740741</v>
      </c>
    </row>
    <row r="278">
      <c r="A278" s="2" t="n">
        <v>46262</v>
      </c>
      <c r="B278" s="3" t="n">
        <v>0.5570949074074074</v>
      </c>
      <c r="C278" s="30" t="inlineStr">
        <is>
          <t>Misyon Bank</t>
        </is>
      </c>
      <c r="D278" t="inlineStr">
        <is>
          <t>DOLAR</t>
        </is>
      </c>
      <c r="E278" s="5" t="n">
        <v>48.0811</v>
      </c>
      <c r="F278" s="5" t="n">
        <v>48.1424</v>
      </c>
      <c r="G278" s="5">
        <f>IF(OR(E278="",F278=""),"",F278-E278)</f>
        <v/>
      </c>
      <c r="H278" s="6">
        <f>IFERROR(G278/E278,"")</f>
        <v/>
      </c>
      <c r="I278" s="44" t="inlineStr">
        <is>
          <t>DOĞRU</t>
        </is>
      </c>
      <c r="J278" s="45" t="inlineStr">
        <is>
          <t>https://kur.doviz.com/serbest-piyasa/amerikan-dolari</t>
        </is>
      </c>
      <c r="K278" s="5" t="n">
        <v>0.0613</v>
      </c>
      <c r="L278" s="6" t="n">
        <v>0.0013</v>
      </c>
      <c r="M278" s="46" t="inlineStr"/>
      <c r="N278" s="47" t="n">
        <v>0.5572569444444444</v>
      </c>
    </row>
    <row r="279">
      <c r="A279" s="2" t="n">
        <v>46262</v>
      </c>
      <c r="B279" s="3" t="n">
        <v>0.5665625</v>
      </c>
      <c r="C279" s="30" t="inlineStr">
        <is>
          <t>Misyon Bank</t>
        </is>
      </c>
      <c r="D279" t="inlineStr">
        <is>
          <t>DOLAR</t>
        </is>
      </c>
      <c r="E279" s="5" t="n">
        <v>48.0811</v>
      </c>
      <c r="F279" s="5" t="n">
        <v>48.1425</v>
      </c>
      <c r="G279" s="5">
        <f>IF(OR(E279="",F279=""),"",F279-E279)</f>
        <v/>
      </c>
      <c r="H279" s="6">
        <f>IFERROR(G279/E279,"")</f>
        <v/>
      </c>
      <c r="I279" s="44" t="inlineStr">
        <is>
          <t>DOĞRU</t>
        </is>
      </c>
      <c r="J279" s="45" t="inlineStr">
        <is>
          <t>https://kur.doviz.com/serbest-piyasa/amerikan-dolari</t>
        </is>
      </c>
      <c r="K279" s="5" t="n">
        <v>0.0614</v>
      </c>
      <c r="L279" s="6" t="n">
        <v>0.0013</v>
      </c>
      <c r="M279" s="46" t="inlineStr"/>
      <c r="N279" s="47" t="n">
        <v>0.5667592592592593</v>
      </c>
    </row>
    <row r="280">
      <c r="A280" s="2" t="n">
        <v>46262</v>
      </c>
      <c r="B280" s="3" t="n">
        <v>0.6021875</v>
      </c>
      <c r="C280" s="30" t="inlineStr">
        <is>
          <t>Misyon Bank</t>
        </is>
      </c>
      <c r="D280" t="inlineStr">
        <is>
          <t>DOLAR</t>
        </is>
      </c>
      <c r="E280" s="5" t="n">
        <v>48.0811</v>
      </c>
      <c r="F280" s="5" t="n">
        <v>48.1426</v>
      </c>
      <c r="G280" s="5">
        <f>IF(OR(E280="",F280=""),"",F280-E280)</f>
        <v/>
      </c>
      <c r="H280" s="6">
        <f>IFERROR(G280/E280,"")</f>
        <v/>
      </c>
      <c r="I280" s="44" t="inlineStr">
        <is>
          <t>DOĞRU</t>
        </is>
      </c>
      <c r="J280" s="45" t="inlineStr">
        <is>
          <t>https://kur.doviz.com/serbest-piyasa/amerikan-dolari</t>
        </is>
      </c>
      <c r="K280" s="5" t="n">
        <v>0.0615</v>
      </c>
      <c r="L280" s="6" t="n">
        <v>0.0013</v>
      </c>
      <c r="M280" s="46" t="inlineStr"/>
      <c r="N280" s="47" t="n">
        <v>0.6023379629629629</v>
      </c>
    </row>
    <row r="281">
      <c r="A281" s="2" t="n">
        <v>46262</v>
      </c>
      <c r="B281" s="3" t="n">
        <v>0.6194560185185185</v>
      </c>
      <c r="C281" s="30" t="inlineStr">
        <is>
          <t>Misyon Bank</t>
        </is>
      </c>
      <c r="D281" t="inlineStr">
        <is>
          <t>DOLAR</t>
        </is>
      </c>
      <c r="E281" s="5" t="n">
        <v>48.0811</v>
      </c>
      <c r="F281" s="5" t="n">
        <v>48.1424</v>
      </c>
      <c r="G281" s="5">
        <f>IF(OR(E281="",F281=""),"",F281-E281)</f>
        <v/>
      </c>
      <c r="H281" s="6">
        <f>IFERROR(G281/E281,"")</f>
        <v/>
      </c>
      <c r="I281" s="44" t="inlineStr">
        <is>
          <t>DOĞRU</t>
        </is>
      </c>
      <c r="J281" s="45" t="inlineStr">
        <is>
          <t>https://kur.doviz.com/serbest-piyasa/amerikan-dolari</t>
        </is>
      </c>
      <c r="K281" s="5" t="n">
        <v>0.0613</v>
      </c>
      <c r="L281" s="6" t="n">
        <v>0.0013</v>
      </c>
      <c r="M281" s="46" t="inlineStr"/>
      <c r="N281" s="47" t="n">
        <v>0.6196180555555556</v>
      </c>
    </row>
    <row r="282">
      <c r="A282" s="2" t="n">
        <v>46262</v>
      </c>
      <c r="B282" s="3" t="n">
        <v>0.5570949074074074</v>
      </c>
      <c r="C282" s="30" t="inlineStr">
        <is>
          <t>Misyon Bank</t>
        </is>
      </c>
      <c r="D282" t="inlineStr">
        <is>
          <t>EURO</t>
        </is>
      </c>
      <c r="E282" s="5" t="n">
        <v>55.9505</v>
      </c>
      <c r="F282" s="5" t="n">
        <v>56.0404</v>
      </c>
      <c r="G282" s="5">
        <f>IF(OR(E282="",F282=""),"",F282-E282)</f>
        <v/>
      </c>
      <c r="H282" s="6">
        <f>IFERROR(G282/E282,"")</f>
        <v/>
      </c>
      <c r="I282" s="44" t="inlineStr">
        <is>
          <t>DOĞRU</t>
        </is>
      </c>
      <c r="J282" s="45" t="inlineStr">
        <is>
          <t>https://kur.doviz.com/serbest-piyasa/euro</t>
        </is>
      </c>
      <c r="K282" s="5" t="n">
        <v>0.08989999999999999</v>
      </c>
      <c r="L282" s="6" t="n">
        <v>0.0016</v>
      </c>
      <c r="M282" s="46" t="inlineStr"/>
      <c r="N282" s="47" t="n">
        <v>0.5574074074074075</v>
      </c>
    </row>
    <row r="283">
      <c r="A283" s="2" t="n">
        <v>46262</v>
      </c>
      <c r="B283" s="3" t="n">
        <v>0.5665625</v>
      </c>
      <c r="C283" s="30" t="inlineStr">
        <is>
          <t>Misyon Bank</t>
        </is>
      </c>
      <c r="D283" t="inlineStr">
        <is>
          <t>EURO</t>
        </is>
      </c>
      <c r="E283" s="5" t="n">
        <v>55.9747</v>
      </c>
      <c r="F283" s="5" t="n">
        <v>56.065</v>
      </c>
      <c r="G283" s="5">
        <f>IF(OR(E283="",F283=""),"",F283-E283)</f>
        <v/>
      </c>
      <c r="H283" s="6">
        <f>IFERROR(G283/E283,"")</f>
        <v/>
      </c>
      <c r="I283" s="44" t="inlineStr">
        <is>
          <t>DOĞRU</t>
        </is>
      </c>
      <c r="J283" s="45" t="inlineStr">
        <is>
          <t>https://kur.doviz.com/serbest-piyasa/euro</t>
        </is>
      </c>
      <c r="K283" s="5" t="n">
        <v>0.0902</v>
      </c>
      <c r="L283" s="6" t="n">
        <v>0.0016</v>
      </c>
      <c r="M283" s="46" t="inlineStr"/>
      <c r="N283" s="47" t="n">
        <v>0.5669097222222222</v>
      </c>
    </row>
    <row r="284">
      <c r="A284" s="2" t="n">
        <v>46262</v>
      </c>
      <c r="B284" s="3" t="n">
        <v>0.6021875</v>
      </c>
      <c r="C284" s="30" t="inlineStr">
        <is>
          <t>Misyon Bank</t>
        </is>
      </c>
      <c r="D284" t="inlineStr">
        <is>
          <t>EURO</t>
        </is>
      </c>
      <c r="E284" s="5" t="n">
        <v>55.9829</v>
      </c>
      <c r="F284" s="5" t="n">
        <v>56.0746</v>
      </c>
      <c r="G284" s="5">
        <f>IF(OR(E284="",F284=""),"",F284-E284)</f>
        <v/>
      </c>
      <c r="H284" s="6">
        <f>IFERROR(G284/E284,"")</f>
        <v/>
      </c>
      <c r="I284" s="44" t="inlineStr">
        <is>
          <t>DOĞRU</t>
        </is>
      </c>
      <c r="J284" s="45" t="inlineStr">
        <is>
          <t>https://kur.doviz.com/serbest-piyasa/euro</t>
        </is>
      </c>
      <c r="K284" s="5" t="n">
        <v>0.0917</v>
      </c>
      <c r="L284" s="6" t="n">
        <v>0.0016</v>
      </c>
      <c r="M284" s="46" t="inlineStr"/>
      <c r="N284" s="47" t="n">
        <v>0.6024884259259259</v>
      </c>
    </row>
    <row r="285">
      <c r="A285" s="2" t="n">
        <v>46262</v>
      </c>
      <c r="B285" s="3" t="n">
        <v>0.6194560185185185</v>
      </c>
      <c r="C285" s="30" t="inlineStr">
        <is>
          <t>Misyon Bank</t>
        </is>
      </c>
      <c r="D285" t="inlineStr">
        <is>
          <t>EURO</t>
        </is>
      </c>
      <c r="E285" s="5" t="n">
        <v>55.9728</v>
      </c>
      <c r="F285" s="5" t="n">
        <v>56.0641</v>
      </c>
      <c r="G285" s="5">
        <f>IF(OR(E285="",F285=""),"",F285-E285)</f>
        <v/>
      </c>
      <c r="H285" s="6">
        <f>IFERROR(G285/E285,"")</f>
        <v/>
      </c>
      <c r="I285" s="44" t="inlineStr">
        <is>
          <t>DOĞRU</t>
        </is>
      </c>
      <c r="J285" s="45" t="inlineStr">
        <is>
          <t>https://kur.doviz.com/serbest-piyasa/euro</t>
        </is>
      </c>
      <c r="K285" s="5" t="n">
        <v>0.09</v>
      </c>
      <c r="L285" s="6" t="n">
        <v>0.0016</v>
      </c>
      <c r="M285" s="46" t="inlineStr"/>
      <c r="N285" s="47" t="n">
        <v>0.6196990740740741</v>
      </c>
    </row>
    <row r="286">
      <c r="A286" s="2" t="n">
        <v>46262</v>
      </c>
      <c r="B286" s="3" t="n">
        <v>0.5570949074074074</v>
      </c>
      <c r="C286" s="30" t="inlineStr">
        <is>
          <t>Misyon Bank</t>
        </is>
      </c>
      <c r="D286" t="inlineStr">
        <is>
          <t>GRAM_ALTIN</t>
        </is>
      </c>
      <c r="E286" s="5" t="n">
        <v>7081.77</v>
      </c>
      <c r="F286" s="5" t="n">
        <v>7113.29</v>
      </c>
      <c r="G286" s="5">
        <f>IF(OR(E286="",F286=""),"",F286-E286)</f>
        <v/>
      </c>
      <c r="H286" s="6">
        <f>IFERROR(G286/E286,"")</f>
        <v/>
      </c>
      <c r="I286" s="44" t="inlineStr">
        <is>
          <t>DOĞRU</t>
        </is>
      </c>
      <c r="J286" s="45" t="inlineStr">
        <is>
          <t>https://altin.doviz.com/gram-altin</t>
        </is>
      </c>
      <c r="K286" s="5" t="n">
        <v>31.52</v>
      </c>
      <c r="L286" s="6" t="n">
        <v>0.004500000000000001</v>
      </c>
      <c r="M286" s="46" t="inlineStr"/>
      <c r="N286" s="47" t="n">
        <v>0.5575578703703704</v>
      </c>
    </row>
    <row r="287">
      <c r="A287" s="2" t="n">
        <v>46262</v>
      </c>
      <c r="B287" s="3" t="n">
        <v>0.5665625</v>
      </c>
      <c r="C287" s="30" t="inlineStr">
        <is>
          <t>Misyon Bank</t>
        </is>
      </c>
      <c r="D287" t="inlineStr">
        <is>
          <t>GRAM_ALTIN</t>
        </is>
      </c>
      <c r="E287" s="5" t="n">
        <v>7085.13</v>
      </c>
      <c r="F287" s="5" t="n">
        <v>7115.67</v>
      </c>
      <c r="G287" s="5">
        <f>IF(OR(E287="",F287=""),"",F287-E287)</f>
        <v/>
      </c>
      <c r="H287" s="6">
        <f>IFERROR(G287/E287,"")</f>
        <v/>
      </c>
      <c r="I287" s="44" t="inlineStr">
        <is>
          <t>DOĞRU</t>
        </is>
      </c>
      <c r="J287" s="45" t="inlineStr">
        <is>
          <t>https://altin.doviz.com/gram-altin</t>
        </is>
      </c>
      <c r="K287" s="5" t="n">
        <v>30.53</v>
      </c>
      <c r="L287" s="6" t="n">
        <v>0.0043</v>
      </c>
      <c r="M287" s="46" t="inlineStr"/>
      <c r="N287" s="47" t="n">
        <v>0.5670601851851852</v>
      </c>
    </row>
    <row r="288">
      <c r="A288" s="2" t="n">
        <v>46262</v>
      </c>
      <c r="B288" s="3" t="n">
        <v>0.6021875</v>
      </c>
      <c r="C288" s="30" t="inlineStr">
        <is>
          <t>Misyon Bank</t>
        </is>
      </c>
      <c r="D288" t="inlineStr">
        <is>
          <t>GRAM_ALTIN</t>
        </is>
      </c>
      <c r="E288" s="5" t="n">
        <v>7075.02</v>
      </c>
      <c r="F288" s="5" t="n">
        <v>7105.6</v>
      </c>
      <c r="G288" s="5">
        <f>IF(OR(E288="",F288=""),"",F288-E288)</f>
        <v/>
      </c>
      <c r="H288" s="6">
        <f>IFERROR(G288/E288,"")</f>
        <v/>
      </c>
      <c r="I288" s="44" t="inlineStr">
        <is>
          <t>DOĞRU</t>
        </is>
      </c>
      <c r="J288" s="45" t="inlineStr">
        <is>
          <t>https://altin.doviz.com/gram-altin</t>
        </is>
      </c>
      <c r="K288" s="5" t="n">
        <v>30.58</v>
      </c>
      <c r="L288" s="6" t="n">
        <v>0.0043</v>
      </c>
      <c r="M288" s="46" t="inlineStr"/>
      <c r="N288" s="47" t="n">
        <v>0.6026388888888888</v>
      </c>
    </row>
    <row r="289">
      <c r="A289" s="2" t="n">
        <v>46262</v>
      </c>
      <c r="B289" s="3" t="n">
        <v>0.6194560185185185</v>
      </c>
      <c r="C289" s="30" t="inlineStr">
        <is>
          <t>Misyon Bank</t>
        </is>
      </c>
      <c r="D289" t="inlineStr">
        <is>
          <t>GRAM_ALTIN</t>
        </is>
      </c>
      <c r="E289" s="5" t="n">
        <v>7065.72</v>
      </c>
      <c r="F289" s="5" t="n">
        <v>7097.26</v>
      </c>
      <c r="G289" s="5">
        <f>IF(OR(E289="",F289=""),"",F289-E289)</f>
        <v/>
      </c>
      <c r="H289" s="6">
        <f>IFERROR(G289/E289,"")</f>
        <v/>
      </c>
      <c r="I289" s="44" t="inlineStr">
        <is>
          <t>DOĞRU</t>
        </is>
      </c>
      <c r="J289" s="45" t="inlineStr">
        <is>
          <t>https://altin.doviz.com/gram-altin</t>
        </is>
      </c>
      <c r="K289" s="5" t="n">
        <v>31.54</v>
      </c>
      <c r="L289" s="6" t="n">
        <v>0.004500000000000001</v>
      </c>
      <c r="M289" s="46" t="inlineStr"/>
      <c r="N289" s="47" t="n">
        <v>0.619849537037037</v>
      </c>
    </row>
    <row r="290">
      <c r="A290" s="2" t="n">
        <v>46262</v>
      </c>
      <c r="B290" s="3" t="n">
        <v>0.5570949074074074</v>
      </c>
      <c r="C290" s="31" t="inlineStr">
        <is>
          <t>Odacı</t>
        </is>
      </c>
      <c r="D290" t="inlineStr">
        <is>
          <t>DOLAR</t>
        </is>
      </c>
      <c r="E290" s="5" t="n">
        <v>48.05</v>
      </c>
      <c r="F290" s="5" t="n">
        <v>48.186</v>
      </c>
      <c r="G290" s="5">
        <f>IF(OR(E290="",F290=""),"",F290-E290)</f>
        <v/>
      </c>
      <c r="H290" s="6">
        <f>IFERROR(G290/E290,"")</f>
        <v/>
      </c>
      <c r="I290" s="44" t="inlineStr">
        <is>
          <t>DOĞRU</t>
        </is>
      </c>
      <c r="J290" s="45" t="inlineStr">
        <is>
          <t>https://kur.doviz.com/serbest-piyasa/amerikan-dolari</t>
        </is>
      </c>
      <c r="K290" s="5" t="n">
        <v>0.136</v>
      </c>
      <c r="L290" s="6" t="n">
        <v>0.0028</v>
      </c>
      <c r="M290" s="46" t="inlineStr"/>
      <c r="N290" s="47" t="n">
        <v>0.5572569444444444</v>
      </c>
    </row>
    <row r="291">
      <c r="A291" s="2" t="n">
        <v>46262</v>
      </c>
      <c r="B291" s="3" t="n">
        <v>0.5665625</v>
      </c>
      <c r="C291" s="31" t="inlineStr">
        <is>
          <t>Odacı</t>
        </is>
      </c>
      <c r="D291" t="inlineStr">
        <is>
          <t>DOLAR</t>
        </is>
      </c>
      <c r="E291" s="5" t="n">
        <v>48.049</v>
      </c>
      <c r="F291" s="5" t="n">
        <v>48.186</v>
      </c>
      <c r="G291" s="5">
        <f>IF(OR(E291="",F291=""),"",F291-E291)</f>
        <v/>
      </c>
      <c r="H291" s="6">
        <f>IFERROR(G291/E291,"")</f>
        <v/>
      </c>
      <c r="I291" s="44" t="inlineStr">
        <is>
          <t>DOĞRU</t>
        </is>
      </c>
      <c r="J291" s="45" t="inlineStr">
        <is>
          <t>https://kur.doviz.com/serbest-piyasa/amerikan-dolari</t>
        </is>
      </c>
      <c r="K291" s="5" t="n">
        <v>0.137</v>
      </c>
      <c r="L291" s="6" t="n">
        <v>0.0029</v>
      </c>
      <c r="M291" s="46" t="inlineStr"/>
      <c r="N291" s="47" t="n">
        <v>0.5667592592592593</v>
      </c>
    </row>
    <row r="292">
      <c r="A292" s="2" t="n">
        <v>46262</v>
      </c>
      <c r="B292" s="3" t="n">
        <v>0.6021875</v>
      </c>
      <c r="C292" s="31" t="inlineStr">
        <is>
          <t>Odacı</t>
        </is>
      </c>
      <c r="D292" t="inlineStr">
        <is>
          <t>DOLAR</t>
        </is>
      </c>
      <c r="E292" s="5" t="n">
        <v>48.069</v>
      </c>
      <c r="F292" s="5" t="n">
        <v>48.176</v>
      </c>
      <c r="G292" s="5">
        <f>IF(OR(E292="",F292=""),"",F292-E292)</f>
        <v/>
      </c>
      <c r="H292" s="6">
        <f>IFERROR(G292/E292,"")</f>
        <v/>
      </c>
      <c r="I292" s="44" t="inlineStr">
        <is>
          <t>DOĞRU</t>
        </is>
      </c>
      <c r="J292" s="45" t="inlineStr">
        <is>
          <t>https://kur.doviz.com/serbest-piyasa/amerikan-dolari</t>
        </is>
      </c>
      <c r="K292" s="5" t="n">
        <v>0.107</v>
      </c>
      <c r="L292" s="6" t="n">
        <v>0.0022</v>
      </c>
      <c r="M292" s="46" t="inlineStr"/>
      <c r="N292" s="47" t="n">
        <v>0.6023379629629629</v>
      </c>
    </row>
    <row r="293">
      <c r="A293" s="2" t="n">
        <v>46262</v>
      </c>
      <c r="B293" s="3" t="n">
        <v>0.6194560185185185</v>
      </c>
      <c r="C293" s="31" t="inlineStr">
        <is>
          <t>Odacı</t>
        </is>
      </c>
      <c r="D293" t="inlineStr">
        <is>
          <t>DOLAR</t>
        </is>
      </c>
      <c r="E293" s="5" t="n">
        <v>48.07</v>
      </c>
      <c r="F293" s="5" t="n">
        <v>48.182</v>
      </c>
      <c r="G293" s="5">
        <f>IF(OR(E293="",F293=""),"",F293-E293)</f>
        <v/>
      </c>
      <c r="H293" s="6">
        <f>IFERROR(G293/E293,"")</f>
        <v/>
      </c>
      <c r="I293" s="44" t="inlineStr">
        <is>
          <t>DOĞRU</t>
        </is>
      </c>
      <c r="J293" s="45" t="inlineStr">
        <is>
          <t>https://kur.doviz.com/serbest-piyasa/amerikan-dolari</t>
        </is>
      </c>
      <c r="K293" s="5" t="n">
        <v>0.112</v>
      </c>
      <c r="L293" s="6" t="n">
        <v>0.0023</v>
      </c>
      <c r="M293" s="46" t="inlineStr"/>
      <c r="N293" s="47" t="n">
        <v>0.6196180555555556</v>
      </c>
    </row>
    <row r="294">
      <c r="A294" s="2" t="n">
        <v>46262</v>
      </c>
      <c r="B294" s="3" t="n">
        <v>0.5570949074074074</v>
      </c>
      <c r="C294" s="31" t="inlineStr">
        <is>
          <t>Odacı</t>
        </is>
      </c>
      <c r="D294" t="inlineStr">
        <is>
          <t>EURO</t>
        </is>
      </c>
      <c r="E294" s="5" t="n">
        <v>55.831</v>
      </c>
      <c r="F294" s="5" t="n">
        <v>56.034</v>
      </c>
      <c r="G294" s="5">
        <f>IF(OR(E294="",F294=""),"",F294-E294)</f>
        <v/>
      </c>
      <c r="H294" s="6">
        <f>IFERROR(G294/E294,"")</f>
        <v/>
      </c>
      <c r="I294" s="44" t="inlineStr">
        <is>
          <t>DOĞRU</t>
        </is>
      </c>
      <c r="J294" s="45" t="inlineStr">
        <is>
          <t>https://kur.doviz.com/serbest-piyasa/euro</t>
        </is>
      </c>
      <c r="K294" s="5" t="n">
        <v>0.203</v>
      </c>
      <c r="L294" s="6" t="n">
        <v>0.0036</v>
      </c>
      <c r="M294" s="46" t="inlineStr"/>
      <c r="N294" s="47" t="n">
        <v>0.5574074074074075</v>
      </c>
    </row>
    <row r="295">
      <c r="A295" s="2" t="n">
        <v>46262</v>
      </c>
      <c r="B295" s="3" t="n">
        <v>0.5665625</v>
      </c>
      <c r="C295" s="31" t="inlineStr">
        <is>
          <t>Odacı</t>
        </is>
      </c>
      <c r="D295" t="inlineStr">
        <is>
          <t>EURO</t>
        </is>
      </c>
      <c r="E295" s="5" t="n">
        <v>55.854</v>
      </c>
      <c r="F295" s="5" t="n">
        <v>56.053</v>
      </c>
      <c r="G295" s="5">
        <f>IF(OR(E295="",F295=""),"",F295-E295)</f>
        <v/>
      </c>
      <c r="H295" s="6">
        <f>IFERROR(G295/E295,"")</f>
        <v/>
      </c>
      <c r="I295" s="44" t="inlineStr">
        <is>
          <t>DOĞRU</t>
        </is>
      </c>
      <c r="J295" s="45" t="inlineStr">
        <is>
          <t>https://kur.doviz.com/serbest-piyasa/euro</t>
        </is>
      </c>
      <c r="K295" s="5" t="n">
        <v>0.199</v>
      </c>
      <c r="L295" s="6" t="n">
        <v>0.0036</v>
      </c>
      <c r="M295" s="46" t="inlineStr"/>
      <c r="N295" s="47" t="n">
        <v>0.5669097222222222</v>
      </c>
    </row>
    <row r="296">
      <c r="A296" s="2" t="n">
        <v>46262</v>
      </c>
      <c r="B296" s="3" t="n">
        <v>0.6021875</v>
      </c>
      <c r="C296" s="31" t="inlineStr">
        <is>
          <t>Odacı</t>
        </is>
      </c>
      <c r="D296" t="inlineStr">
        <is>
          <t>EURO</t>
        </is>
      </c>
      <c r="E296" s="5" t="n">
        <v>55.894</v>
      </c>
      <c r="F296" s="5" t="n">
        <v>56.055</v>
      </c>
      <c r="G296" s="5">
        <f>IF(OR(E296="",F296=""),"",F296-E296)</f>
        <v/>
      </c>
      <c r="H296" s="6">
        <f>IFERROR(G296/E296,"")</f>
        <v/>
      </c>
      <c r="I296" s="44" t="inlineStr">
        <is>
          <t>DOĞRU</t>
        </is>
      </c>
      <c r="J296" s="45" t="inlineStr">
        <is>
          <t>https://kur.doviz.com/serbest-piyasa/euro</t>
        </is>
      </c>
      <c r="K296" s="5" t="n">
        <v>0.161</v>
      </c>
      <c r="L296" s="6" t="n">
        <v>0.0029</v>
      </c>
      <c r="M296" s="46" t="inlineStr"/>
      <c r="N296" s="47" t="n">
        <v>0.6024884259259259</v>
      </c>
    </row>
    <row r="297">
      <c r="A297" s="2" t="n">
        <v>46262</v>
      </c>
      <c r="B297" s="3" t="n">
        <v>0.6194560185185185</v>
      </c>
      <c r="C297" s="31" t="inlineStr">
        <is>
          <t>Odacı</t>
        </is>
      </c>
      <c r="D297" t="inlineStr">
        <is>
          <t>EURO</t>
        </is>
      </c>
      <c r="E297" s="5" t="n">
        <v>55.885</v>
      </c>
      <c r="F297" s="5" t="n">
        <v>56.055</v>
      </c>
      <c r="G297" s="5">
        <f>IF(OR(E297="",F297=""),"",F297-E297)</f>
        <v/>
      </c>
      <c r="H297" s="6">
        <f>IFERROR(G297/E297,"")</f>
        <v/>
      </c>
      <c r="I297" s="44" t="inlineStr">
        <is>
          <t>DOĞRU</t>
        </is>
      </c>
      <c r="J297" s="45" t="inlineStr">
        <is>
          <t>https://kur.doviz.com/serbest-piyasa/euro</t>
        </is>
      </c>
      <c r="K297" s="5" t="n">
        <v>0.17</v>
      </c>
      <c r="L297" s="6" t="n">
        <v>0.003</v>
      </c>
      <c r="M297" s="46" t="inlineStr"/>
      <c r="N297" s="47" t="n">
        <v>0.6196990740740741</v>
      </c>
    </row>
    <row r="298">
      <c r="A298" s="2" t="n">
        <v>46262</v>
      </c>
      <c r="B298" s="3" t="n">
        <v>0.5570949074074074</v>
      </c>
      <c r="C298" s="31" t="inlineStr">
        <is>
          <t>Odacı</t>
        </is>
      </c>
      <c r="D298" t="inlineStr">
        <is>
          <t>GRAM_ALTIN</t>
        </is>
      </c>
      <c r="E298" s="5" t="n">
        <v>7054</v>
      </c>
      <c r="F298" s="5" t="n">
        <v>7097</v>
      </c>
      <c r="G298" s="5">
        <f>IF(OR(E298="",F298=""),"",F298-E298)</f>
        <v/>
      </c>
      <c r="H298" s="6">
        <f>IFERROR(G298/E298,"")</f>
        <v/>
      </c>
      <c r="I298" s="44" t="inlineStr">
        <is>
          <t>DOĞRU</t>
        </is>
      </c>
      <c r="J298" s="45" t="inlineStr">
        <is>
          <t>https://altin.doviz.com/gram-altin</t>
        </is>
      </c>
      <c r="K298" s="5" t="n">
        <v>43</v>
      </c>
      <c r="L298" s="6" t="n">
        <v>0.0061</v>
      </c>
      <c r="M298" s="46" t="inlineStr"/>
      <c r="N298" s="47" t="n">
        <v>0.5575578703703704</v>
      </c>
    </row>
    <row r="299">
      <c r="A299" s="2" t="n">
        <v>46262</v>
      </c>
      <c r="B299" s="3" t="n">
        <v>0.5665625</v>
      </c>
      <c r="C299" s="31" t="inlineStr">
        <is>
          <t>Odacı</t>
        </is>
      </c>
      <c r="D299" t="inlineStr">
        <is>
          <t>GRAM_ALTIN</t>
        </is>
      </c>
      <c r="E299" s="5" t="n">
        <v>7063</v>
      </c>
      <c r="F299" s="5" t="n">
        <v>7104</v>
      </c>
      <c r="G299" s="5">
        <f>IF(OR(E299="",F299=""),"",F299-E299)</f>
        <v/>
      </c>
      <c r="H299" s="6">
        <f>IFERROR(G299/E299,"")</f>
        <v/>
      </c>
      <c r="I299" s="44" t="inlineStr">
        <is>
          <t>DOĞRU</t>
        </is>
      </c>
      <c r="J299" s="45" t="inlineStr">
        <is>
          <t>https://altin.doviz.com/gram-altin</t>
        </is>
      </c>
      <c r="K299" s="5" t="n">
        <v>41</v>
      </c>
      <c r="L299" s="6" t="n">
        <v>0.0058</v>
      </c>
      <c r="M299" s="46" t="inlineStr"/>
      <c r="N299" s="47" t="n">
        <v>0.5670601851851852</v>
      </c>
    </row>
    <row r="300">
      <c r="A300" s="2" t="n">
        <v>46262</v>
      </c>
      <c r="B300" s="3" t="n">
        <v>0.6021875</v>
      </c>
      <c r="C300" s="31" t="inlineStr">
        <is>
          <t>Odacı</t>
        </is>
      </c>
      <c r="D300" t="inlineStr">
        <is>
          <t>GRAM_ALTIN</t>
        </is>
      </c>
      <c r="E300" s="5" t="n">
        <v>7056</v>
      </c>
      <c r="F300" s="5" t="n">
        <v>7094</v>
      </c>
      <c r="G300" s="5">
        <f>IF(OR(E300="",F300=""),"",F300-E300)</f>
        <v/>
      </c>
      <c r="H300" s="6">
        <f>IFERROR(G300/E300,"")</f>
        <v/>
      </c>
      <c r="I300" s="44" t="inlineStr">
        <is>
          <t>DOĞRU</t>
        </is>
      </c>
      <c r="J300" s="45" t="inlineStr">
        <is>
          <t>https://altin.doviz.com/gram-altin</t>
        </is>
      </c>
      <c r="K300" s="5" t="n">
        <v>38</v>
      </c>
      <c r="L300" s="6" t="n">
        <v>0.0054</v>
      </c>
      <c r="M300" s="46" t="inlineStr"/>
      <c r="N300" s="47" t="n">
        <v>0.6026388888888888</v>
      </c>
    </row>
    <row r="301">
      <c r="A301" s="2" t="n">
        <v>46262</v>
      </c>
      <c r="B301" s="3" t="n">
        <v>0.6194560185185185</v>
      </c>
      <c r="C301" s="31" t="inlineStr">
        <is>
          <t>Odacı</t>
        </is>
      </c>
      <c r="D301" t="inlineStr">
        <is>
          <t>GRAM_ALTIN</t>
        </is>
      </c>
      <c r="E301" s="5" t="n">
        <v>7049</v>
      </c>
      <c r="F301" s="5" t="n">
        <v>7088</v>
      </c>
      <c r="G301" s="5">
        <f>IF(OR(E301="",F301=""),"",F301-E301)</f>
        <v/>
      </c>
      <c r="H301" s="6">
        <f>IFERROR(G301/E301,"")</f>
        <v/>
      </c>
      <c r="I301" s="44" t="inlineStr">
        <is>
          <t>DOĞRU</t>
        </is>
      </c>
      <c r="J301" s="45" t="inlineStr">
        <is>
          <t>https://altin.doviz.com/gram-altin</t>
        </is>
      </c>
      <c r="K301" s="5" t="n">
        <v>39</v>
      </c>
      <c r="L301" s="6" t="n">
        <v>0.005500000000000001</v>
      </c>
      <c r="M301" s="46" t="inlineStr"/>
      <c r="N301" s="47" t="n">
        <v>0.619849537037037</v>
      </c>
    </row>
    <row r="302">
      <c r="A302" s="2" t="n">
        <v>46262</v>
      </c>
      <c r="B302" s="3" t="n">
        <v>0.5570949074074074</v>
      </c>
      <c r="C302" s="32" t="inlineStr">
        <is>
          <t>Odeabank</t>
        </is>
      </c>
      <c r="D302" t="inlineStr">
        <is>
          <t>DOLAR</t>
        </is>
      </c>
      <c r="E302" s="5" t="n">
        <v>47.641</v>
      </c>
      <c r="F302" s="5" t="n">
        <v>48.641</v>
      </c>
      <c r="G302" s="5">
        <f>IF(OR(E302="",F302=""),"",F302-E302)</f>
        <v/>
      </c>
      <c r="H302" s="6">
        <f>IFERROR(G302/E302,"")</f>
        <v/>
      </c>
      <c r="I302" s="44" t="inlineStr">
        <is>
          <t>DOĞRU</t>
        </is>
      </c>
      <c r="J302" s="45" t="inlineStr">
        <is>
          <t>https://kur.doviz.com/serbest-piyasa/amerikan-dolari</t>
        </is>
      </c>
      <c r="K302" s="5" t="n">
        <v>1</v>
      </c>
      <c r="L302" s="6" t="n">
        <v>0.021</v>
      </c>
      <c r="M302" s="46" t="inlineStr"/>
      <c r="N302" s="47" t="n">
        <v>0.5572569444444444</v>
      </c>
    </row>
    <row r="303">
      <c r="A303" s="2" t="n">
        <v>46262</v>
      </c>
      <c r="B303" s="3" t="n">
        <v>0.5665625</v>
      </c>
      <c r="C303" s="32" t="inlineStr">
        <is>
          <t>Odeabank</t>
        </is>
      </c>
      <c r="D303" t="inlineStr">
        <is>
          <t>DOLAR</t>
        </is>
      </c>
      <c r="E303" s="5" t="n">
        <v>47.641</v>
      </c>
      <c r="F303" s="5" t="n">
        <v>48.641</v>
      </c>
      <c r="G303" s="5">
        <f>IF(OR(E303="",F303=""),"",F303-E303)</f>
        <v/>
      </c>
      <c r="H303" s="6">
        <f>IFERROR(G303/E303,"")</f>
        <v/>
      </c>
      <c r="I303" s="44" t="inlineStr">
        <is>
          <t>DOĞRU</t>
        </is>
      </c>
      <c r="J303" s="45" t="inlineStr">
        <is>
          <t>https://kur.doviz.com/serbest-piyasa/amerikan-dolari</t>
        </is>
      </c>
      <c r="K303" s="5" t="n">
        <v>1</v>
      </c>
      <c r="L303" s="6" t="n">
        <v>0.021</v>
      </c>
      <c r="M303" s="46" t="inlineStr"/>
      <c r="N303" s="47" t="n">
        <v>0.5667592592592593</v>
      </c>
    </row>
    <row r="304">
      <c r="A304" s="2" t="n">
        <v>46262</v>
      </c>
      <c r="B304" s="3" t="n">
        <v>0.6021875</v>
      </c>
      <c r="C304" s="32" t="inlineStr">
        <is>
          <t>Odeabank</t>
        </is>
      </c>
      <c r="D304" t="inlineStr">
        <is>
          <t>DOLAR</t>
        </is>
      </c>
      <c r="E304" s="5" t="n">
        <v>47.6435</v>
      </c>
      <c r="F304" s="5" t="n">
        <v>48.6435</v>
      </c>
      <c r="G304" s="5">
        <f>IF(OR(E304="",F304=""),"",F304-E304)</f>
        <v/>
      </c>
      <c r="H304" s="6">
        <f>IFERROR(G304/E304,"")</f>
        <v/>
      </c>
      <c r="I304" s="44" t="inlineStr">
        <is>
          <t>DOĞRU</t>
        </is>
      </c>
      <c r="J304" s="45" t="inlineStr">
        <is>
          <t>https://kur.doviz.com/serbest-piyasa/amerikan-dolari</t>
        </is>
      </c>
      <c r="K304" s="5" t="n">
        <v>1</v>
      </c>
      <c r="L304" s="6" t="n">
        <v>0.021</v>
      </c>
      <c r="M304" s="46" t="inlineStr"/>
      <c r="N304" s="47" t="n">
        <v>0.6023379629629629</v>
      </c>
    </row>
    <row r="305">
      <c r="A305" s="2" t="n">
        <v>46262</v>
      </c>
      <c r="B305" s="3" t="n">
        <v>0.6194560185185185</v>
      </c>
      <c r="C305" s="32" t="inlineStr">
        <is>
          <t>Odeabank</t>
        </is>
      </c>
      <c r="D305" t="inlineStr">
        <is>
          <t>DOLAR</t>
        </is>
      </c>
      <c r="E305" s="5" t="n">
        <v>47.643</v>
      </c>
      <c r="F305" s="5" t="n">
        <v>48.643</v>
      </c>
      <c r="G305" s="5">
        <f>IF(OR(E305="",F305=""),"",F305-E305)</f>
        <v/>
      </c>
      <c r="H305" s="6">
        <f>IFERROR(G305/E305,"")</f>
        <v/>
      </c>
      <c r="I305" s="44" t="inlineStr">
        <is>
          <t>DOĞRU</t>
        </is>
      </c>
      <c r="J305" s="45" t="inlineStr">
        <is>
          <t>https://kur.doviz.com/serbest-piyasa/amerikan-dolari</t>
        </is>
      </c>
      <c r="K305" s="5" t="n">
        <v>1</v>
      </c>
      <c r="L305" s="6" t="n">
        <v>0.021</v>
      </c>
      <c r="M305" s="46" t="inlineStr"/>
      <c r="N305" s="47" t="n">
        <v>0.6196180555555556</v>
      </c>
    </row>
    <row r="306">
      <c r="A306" s="2" t="n">
        <v>46262</v>
      </c>
      <c r="B306" s="3" t="n">
        <v>0.5570949074074074</v>
      </c>
      <c r="C306" s="32" t="inlineStr">
        <is>
          <t>Odeabank</t>
        </is>
      </c>
      <c r="D306" t="inlineStr">
        <is>
          <t>EURO</t>
        </is>
      </c>
      <c r="E306" s="5" t="n">
        <v>55.491</v>
      </c>
      <c r="F306" s="5" t="n">
        <v>56.581</v>
      </c>
      <c r="G306" s="5">
        <f>IF(OR(E306="",F306=""),"",F306-E306)</f>
        <v/>
      </c>
      <c r="H306" s="6">
        <f>IFERROR(G306/E306,"")</f>
        <v/>
      </c>
      <c r="I306" s="44" t="inlineStr">
        <is>
          <t>DOĞRU</t>
        </is>
      </c>
      <c r="J306" s="45" t="inlineStr">
        <is>
          <t>https://kur.doviz.com/serbest-piyasa/euro</t>
        </is>
      </c>
      <c r="K306" s="5" t="n">
        <v>1.09</v>
      </c>
      <c r="L306" s="6" t="n">
        <v>0.0196</v>
      </c>
      <c r="M306" s="46" t="inlineStr"/>
      <c r="N306" s="47" t="n">
        <v>0.5574074074074075</v>
      </c>
    </row>
    <row r="307">
      <c r="A307" s="2" t="n">
        <v>46262</v>
      </c>
      <c r="B307" s="3" t="n">
        <v>0.5665625</v>
      </c>
      <c r="C307" s="32" t="inlineStr">
        <is>
          <t>Odeabank</t>
        </is>
      </c>
      <c r="D307" t="inlineStr">
        <is>
          <t>EURO</t>
        </is>
      </c>
      <c r="E307" s="5" t="n">
        <v>55.508</v>
      </c>
      <c r="F307" s="5" t="n">
        <v>56.598</v>
      </c>
      <c r="G307" s="5">
        <f>IF(OR(E307="",F307=""),"",F307-E307)</f>
        <v/>
      </c>
      <c r="H307" s="6">
        <f>IFERROR(G307/E307,"")</f>
        <v/>
      </c>
      <c r="I307" s="44" t="inlineStr">
        <is>
          <t>DOĞRU</t>
        </is>
      </c>
      <c r="J307" s="45" t="inlineStr">
        <is>
          <t>https://kur.doviz.com/serbest-piyasa/euro</t>
        </is>
      </c>
      <c r="K307" s="5" t="n">
        <v>1.09</v>
      </c>
      <c r="L307" s="6" t="n">
        <v>0.0196</v>
      </c>
      <c r="M307" s="46" t="inlineStr"/>
      <c r="N307" s="47" t="n">
        <v>0.5669097222222222</v>
      </c>
    </row>
    <row r="308">
      <c r="A308" s="2" t="n">
        <v>46262</v>
      </c>
      <c r="B308" s="3" t="n">
        <v>0.6021875</v>
      </c>
      <c r="C308" s="32" t="inlineStr">
        <is>
          <t>Odeabank</t>
        </is>
      </c>
      <c r="D308" t="inlineStr">
        <is>
          <t>EURO</t>
        </is>
      </c>
      <c r="E308" s="5" t="n">
        <v>55.518</v>
      </c>
      <c r="F308" s="5" t="n">
        <v>56.608</v>
      </c>
      <c r="G308" s="5">
        <f>IF(OR(E308="",F308=""),"",F308-E308)</f>
        <v/>
      </c>
      <c r="H308" s="6">
        <f>IFERROR(G308/E308,"")</f>
        <v/>
      </c>
      <c r="I308" s="44" t="inlineStr">
        <is>
          <t>DOĞRU</t>
        </is>
      </c>
      <c r="J308" s="45" t="inlineStr">
        <is>
          <t>https://kur.doviz.com/serbest-piyasa/euro</t>
        </is>
      </c>
      <c r="K308" s="5" t="n">
        <v>1.09</v>
      </c>
      <c r="L308" s="6" t="n">
        <v>0.0196</v>
      </c>
      <c r="M308" s="46" t="inlineStr"/>
      <c r="N308" s="47" t="n">
        <v>0.6024884259259259</v>
      </c>
    </row>
    <row r="309">
      <c r="A309" s="2" t="n">
        <v>46262</v>
      </c>
      <c r="B309" s="3" t="n">
        <v>0.6194560185185185</v>
      </c>
      <c r="C309" s="32" t="inlineStr">
        <is>
          <t>Odeabank</t>
        </is>
      </c>
      <c r="D309" t="inlineStr">
        <is>
          <t>EURO</t>
        </is>
      </c>
      <c r="E309" s="5" t="n">
        <v>55.511</v>
      </c>
      <c r="F309" s="5" t="n">
        <v>56.601</v>
      </c>
      <c r="G309" s="5">
        <f>IF(OR(E309="",F309=""),"",F309-E309)</f>
        <v/>
      </c>
      <c r="H309" s="6">
        <f>IFERROR(G309/E309,"")</f>
        <v/>
      </c>
      <c r="I309" s="44" t="inlineStr">
        <is>
          <t>DOĞRU</t>
        </is>
      </c>
      <c r="J309" s="45" t="inlineStr">
        <is>
          <t>https://kur.doviz.com/serbest-piyasa/euro</t>
        </is>
      </c>
      <c r="K309" s="5" t="n">
        <v>1.09</v>
      </c>
      <c r="L309" s="6" t="n">
        <v>0.0196</v>
      </c>
      <c r="M309" s="46" t="inlineStr"/>
      <c r="N309" s="47" t="n">
        <v>0.6196990740740741</v>
      </c>
    </row>
    <row r="310">
      <c r="A310" s="2" t="n">
        <v>46262</v>
      </c>
      <c r="B310" s="3" t="n">
        <v>0.5570949074074074</v>
      </c>
      <c r="C310" s="32" t="inlineStr">
        <is>
          <t>Odeabank</t>
        </is>
      </c>
      <c r="D310" t="inlineStr">
        <is>
          <t>GRAM_ALTIN</t>
        </is>
      </c>
      <c r="E310" s="5" t="n">
        <v>7082.06</v>
      </c>
      <c r="F310" s="5" t="n">
        <v>7182.06</v>
      </c>
      <c r="G310" s="5">
        <f>IF(OR(E310="",F310=""),"",F310-E310)</f>
        <v/>
      </c>
      <c r="H310" s="6">
        <f>IFERROR(G310/E310,"")</f>
        <v/>
      </c>
      <c r="I310" s="44" t="inlineStr">
        <is>
          <t>DOĞRU</t>
        </is>
      </c>
      <c r="J310" s="45" t="inlineStr">
        <is>
          <t>https://altin.doviz.com/gram-altin</t>
        </is>
      </c>
      <c r="K310" s="5" t="n">
        <v>100</v>
      </c>
      <c r="L310" s="6" t="n">
        <v>0.0141</v>
      </c>
      <c r="M310" s="46" t="inlineStr"/>
      <c r="N310" s="47" t="n">
        <v>0.5575578703703704</v>
      </c>
    </row>
    <row r="311">
      <c r="A311" s="2" t="n">
        <v>46262</v>
      </c>
      <c r="B311" s="3" t="n">
        <v>0.5665625</v>
      </c>
      <c r="C311" s="32" t="inlineStr">
        <is>
          <t>Odeabank</t>
        </is>
      </c>
      <c r="D311" t="inlineStr">
        <is>
          <t>GRAM_ALTIN</t>
        </is>
      </c>
      <c r="E311" s="5" t="n">
        <v>7076.05</v>
      </c>
      <c r="F311" s="5" t="n">
        <v>7176.05</v>
      </c>
      <c r="G311" s="5">
        <f>IF(OR(E311="",F311=""),"",F311-E311)</f>
        <v/>
      </c>
      <c r="H311" s="6">
        <f>IFERROR(G311/E311,"")</f>
        <v/>
      </c>
      <c r="I311" s="44" t="inlineStr">
        <is>
          <t>DOĞRU</t>
        </is>
      </c>
      <c r="J311" s="45" t="inlineStr">
        <is>
          <t>https://altin.doviz.com/gram-altin</t>
        </is>
      </c>
      <c r="K311" s="5" t="n">
        <v>100</v>
      </c>
      <c r="L311" s="6" t="n">
        <v>0.0141</v>
      </c>
      <c r="M311" s="46" t="inlineStr"/>
      <c r="N311" s="47" t="n">
        <v>0.5670601851851852</v>
      </c>
    </row>
    <row r="312">
      <c r="A312" s="2" t="n">
        <v>46262</v>
      </c>
      <c r="B312" s="3" t="n">
        <v>0.6021875</v>
      </c>
      <c r="C312" s="32" t="inlineStr">
        <is>
          <t>Odeabank</t>
        </is>
      </c>
      <c r="D312" t="inlineStr">
        <is>
          <t>GRAM_ALTIN</t>
        </is>
      </c>
      <c r="E312" s="5" t="n">
        <v>7071.12</v>
      </c>
      <c r="F312" s="5" t="n">
        <v>7171.12</v>
      </c>
      <c r="G312" s="5">
        <f>IF(OR(E312="",F312=""),"",F312-E312)</f>
        <v/>
      </c>
      <c r="H312" s="6">
        <f>IFERROR(G312/E312,"")</f>
        <v/>
      </c>
      <c r="I312" s="44" t="inlineStr">
        <is>
          <t>DOĞRU</t>
        </is>
      </c>
      <c r="J312" s="45" t="inlineStr">
        <is>
          <t>https://altin.doviz.com/gram-altin</t>
        </is>
      </c>
      <c r="K312" s="5" t="n">
        <v>100</v>
      </c>
      <c r="L312" s="6" t="n">
        <v>0.0141</v>
      </c>
      <c r="M312" s="46" t="inlineStr"/>
      <c r="N312" s="47" t="n">
        <v>0.6026388888888888</v>
      </c>
    </row>
    <row r="313">
      <c r="A313" s="2" t="n">
        <v>46262</v>
      </c>
      <c r="B313" s="3" t="n">
        <v>0.6194560185185185</v>
      </c>
      <c r="C313" s="32" t="inlineStr">
        <is>
          <t>Odeabank</t>
        </is>
      </c>
      <c r="D313" t="inlineStr">
        <is>
          <t>GRAM_ALTIN</t>
        </is>
      </c>
      <c r="E313" s="5" t="n">
        <v>7061.06</v>
      </c>
      <c r="F313" s="5" t="n">
        <v>7161.06</v>
      </c>
      <c r="G313" s="5">
        <f>IF(OR(E313="",F313=""),"",F313-E313)</f>
        <v/>
      </c>
      <c r="H313" s="6">
        <f>IFERROR(G313/E313,"")</f>
        <v/>
      </c>
      <c r="I313" s="44" t="inlineStr">
        <is>
          <t>DOĞRU</t>
        </is>
      </c>
      <c r="J313" s="45" t="inlineStr">
        <is>
          <t>https://altin.doviz.com/gram-altin</t>
        </is>
      </c>
      <c r="K313" s="5" t="n">
        <v>100</v>
      </c>
      <c r="L313" s="6" t="n">
        <v>0.0142</v>
      </c>
      <c r="M313" s="46" t="inlineStr"/>
      <c r="N313" s="47" t="n">
        <v>0.619849537037037</v>
      </c>
    </row>
    <row r="314">
      <c r="A314" s="2" t="n">
        <v>46262</v>
      </c>
      <c r="B314" s="3" t="n">
        <v>0.5570949074074074</v>
      </c>
      <c r="C314" s="33" t="inlineStr">
        <is>
          <t>Papara</t>
        </is>
      </c>
      <c r="D314" t="inlineStr">
        <is>
          <t>GRAM_ALTIN</t>
        </is>
      </c>
      <c r="E314" s="5" t="n">
        <v>7043.92</v>
      </c>
      <c r="F314" s="5" t="n">
        <v>7232.93</v>
      </c>
      <c r="G314" s="5">
        <f>IF(OR(E314="",F314=""),"",F314-E314)</f>
        <v/>
      </c>
      <c r="H314" s="6">
        <f>IFERROR(G314/E314,"")</f>
        <v/>
      </c>
      <c r="I314" s="44" t="inlineStr">
        <is>
          <t>DOĞRU</t>
        </is>
      </c>
      <c r="J314" s="45" t="inlineStr">
        <is>
          <t>https://altin.doviz.com/gram-altin</t>
        </is>
      </c>
      <c r="K314" s="5" t="n">
        <v>189.01</v>
      </c>
      <c r="L314" s="6" t="n">
        <v>0.0268</v>
      </c>
      <c r="M314" s="46" t="inlineStr"/>
      <c r="N314" s="47" t="n">
        <v>0.5575578703703704</v>
      </c>
    </row>
    <row r="315">
      <c r="A315" s="2" t="n">
        <v>46262</v>
      </c>
      <c r="B315" s="3" t="n">
        <v>0.5665625</v>
      </c>
      <c r="C315" s="33" t="inlineStr">
        <is>
          <t>Papara</t>
        </is>
      </c>
      <c r="D315" t="inlineStr">
        <is>
          <t>GRAM_ALTIN</t>
        </is>
      </c>
      <c r="E315" s="5" t="n">
        <v>7044.02</v>
      </c>
      <c r="F315" s="5" t="n">
        <v>7233.04</v>
      </c>
      <c r="G315" s="5">
        <f>IF(OR(E315="",F315=""),"",F315-E315)</f>
        <v/>
      </c>
      <c r="H315" s="6">
        <f>IFERROR(G315/E315,"")</f>
        <v/>
      </c>
      <c r="I315" s="44" t="inlineStr">
        <is>
          <t>DOĞRU</t>
        </is>
      </c>
      <c r="J315" s="45" t="inlineStr">
        <is>
          <t>https://altin.doviz.com/gram-altin</t>
        </is>
      </c>
      <c r="K315" s="5" t="n">
        <v>189.02</v>
      </c>
      <c r="L315" s="6" t="n">
        <v>0.0268</v>
      </c>
      <c r="M315" s="46" t="inlineStr"/>
      <c r="N315" s="47" t="n">
        <v>0.5670601851851852</v>
      </c>
    </row>
    <row r="316">
      <c r="A316" s="2" t="n">
        <v>46262</v>
      </c>
      <c r="B316" s="3" t="n">
        <v>0.6021875</v>
      </c>
      <c r="C316" s="33" t="inlineStr">
        <is>
          <t>Papara</t>
        </is>
      </c>
      <c r="D316" t="inlineStr">
        <is>
          <t>GRAM_ALTIN</t>
        </is>
      </c>
      <c r="E316" s="5" t="n">
        <v>7034.98</v>
      </c>
      <c r="F316" s="5" t="n">
        <v>7223.83</v>
      </c>
      <c r="G316" s="5">
        <f>IF(OR(E316="",F316=""),"",F316-E316)</f>
        <v/>
      </c>
      <c r="H316" s="6">
        <f>IFERROR(G316/E316,"")</f>
        <v/>
      </c>
      <c r="I316" s="44" t="inlineStr">
        <is>
          <t>DOĞRU</t>
        </is>
      </c>
      <c r="J316" s="45" t="inlineStr">
        <is>
          <t>https://altin.doviz.com/gram-altin</t>
        </is>
      </c>
      <c r="K316" s="5" t="n">
        <v>188.85</v>
      </c>
      <c r="L316" s="6" t="n">
        <v>0.0268</v>
      </c>
      <c r="M316" s="46" t="inlineStr"/>
      <c r="N316" s="47" t="n">
        <v>0.6026388888888888</v>
      </c>
    </row>
    <row r="317">
      <c r="A317" s="2" t="n">
        <v>46262</v>
      </c>
      <c r="B317" s="3" t="n">
        <v>0.6194560185185185</v>
      </c>
      <c r="C317" s="33" t="inlineStr">
        <is>
          <t>Papara</t>
        </is>
      </c>
      <c r="D317" t="inlineStr">
        <is>
          <t>GRAM_ALTIN</t>
        </is>
      </c>
      <c r="E317" s="5" t="n">
        <v>7028.41</v>
      </c>
      <c r="F317" s="5" t="n">
        <v>7217.11</v>
      </c>
      <c r="G317" s="5">
        <f>IF(OR(E317="",F317=""),"",F317-E317)</f>
        <v/>
      </c>
      <c r="H317" s="6">
        <f>IFERROR(G317/E317,"")</f>
        <v/>
      </c>
      <c r="I317" s="44" t="inlineStr">
        <is>
          <t>DOĞRU</t>
        </is>
      </c>
      <c r="J317" s="45" t="inlineStr">
        <is>
          <t>https://altin.doviz.com/gram-altin</t>
        </is>
      </c>
      <c r="K317" s="5" t="n">
        <v>188.7</v>
      </c>
      <c r="L317" s="6" t="n">
        <v>0.0268</v>
      </c>
      <c r="M317" s="46" t="inlineStr"/>
      <c r="N317" s="47" t="n">
        <v>0.619849537037037</v>
      </c>
    </row>
    <row r="318">
      <c r="A318" s="2" t="n">
        <v>46262</v>
      </c>
      <c r="B318" s="3" t="n">
        <v>0.5570949074074074</v>
      </c>
      <c r="C318" s="34" t="inlineStr">
        <is>
          <t>QNB Finansbank</t>
        </is>
      </c>
      <c r="D318" t="inlineStr">
        <is>
          <t>DOLAR</t>
        </is>
      </c>
      <c r="E318" s="5" t="n">
        <v>47.505</v>
      </c>
      <c r="F318" s="5" t="n">
        <v>48.725</v>
      </c>
      <c r="G318" s="5">
        <f>IF(OR(E318="",F318=""),"",F318-E318)</f>
        <v/>
      </c>
      <c r="H318" s="6">
        <f>IFERROR(G318/E318,"")</f>
        <v/>
      </c>
      <c r="I318" s="44" t="inlineStr">
        <is>
          <t>DOĞRU</t>
        </is>
      </c>
      <c r="J318" s="45" t="inlineStr">
        <is>
          <t>https://kur.doviz.com/serbest-piyasa/amerikan-dolari</t>
        </is>
      </c>
      <c r="K318" s="5" t="n">
        <v>1.22</v>
      </c>
      <c r="L318" s="6" t="n">
        <v>0.0257</v>
      </c>
      <c r="M318" s="46" t="inlineStr"/>
      <c r="N318" s="47" t="n">
        <v>0.5572569444444444</v>
      </c>
    </row>
    <row r="319">
      <c r="A319" s="2" t="n">
        <v>46262</v>
      </c>
      <c r="B319" s="3" t="n">
        <v>0.5665625</v>
      </c>
      <c r="C319" s="34" t="inlineStr">
        <is>
          <t>QNB Finansbank</t>
        </is>
      </c>
      <c r="D319" t="inlineStr">
        <is>
          <t>DOLAR</t>
        </is>
      </c>
      <c r="E319" s="5" t="n">
        <v>47.505</v>
      </c>
      <c r="F319" s="5" t="n">
        <v>48.725</v>
      </c>
      <c r="G319" s="5">
        <f>IF(OR(E319="",F319=""),"",F319-E319)</f>
        <v/>
      </c>
      <c r="H319" s="6">
        <f>IFERROR(G319/E319,"")</f>
        <v/>
      </c>
      <c r="I319" s="44" t="inlineStr">
        <is>
          <t>DOĞRU</t>
        </is>
      </c>
      <c r="J319" s="45" t="inlineStr">
        <is>
          <t>https://kur.doviz.com/serbest-piyasa/amerikan-dolari</t>
        </is>
      </c>
      <c r="K319" s="5" t="n">
        <v>1.22</v>
      </c>
      <c r="L319" s="6" t="n">
        <v>0.0257</v>
      </c>
      <c r="M319" s="46" t="inlineStr"/>
      <c r="N319" s="47" t="n">
        <v>0.5667592592592593</v>
      </c>
    </row>
    <row r="320">
      <c r="A320" s="2" t="n">
        <v>46262</v>
      </c>
      <c r="B320" s="3" t="n">
        <v>0.6021875</v>
      </c>
      <c r="C320" s="34" t="inlineStr">
        <is>
          <t>QNB Finansbank</t>
        </is>
      </c>
      <c r="D320" t="inlineStr">
        <is>
          <t>DOLAR</t>
        </is>
      </c>
      <c r="E320" s="5" t="n">
        <v>47.5055</v>
      </c>
      <c r="F320" s="5" t="n">
        <v>48.7255</v>
      </c>
      <c r="G320" s="5">
        <f>IF(OR(E320="",F320=""),"",F320-E320)</f>
        <v/>
      </c>
      <c r="H320" s="6">
        <f>IFERROR(G320/E320,"")</f>
        <v/>
      </c>
      <c r="I320" s="44" t="inlineStr">
        <is>
          <t>DOĞRU</t>
        </is>
      </c>
      <c r="J320" s="45" t="inlineStr">
        <is>
          <t>https://kur.doviz.com/serbest-piyasa/amerikan-dolari</t>
        </is>
      </c>
      <c r="K320" s="5" t="n">
        <v>1.22</v>
      </c>
      <c r="L320" s="6" t="n">
        <v>0.0257</v>
      </c>
      <c r="M320" s="46" t="inlineStr"/>
      <c r="N320" s="47" t="n">
        <v>0.6023379629629629</v>
      </c>
    </row>
    <row r="321">
      <c r="A321" s="2" t="n">
        <v>46262</v>
      </c>
      <c r="B321" s="3" t="n">
        <v>0.6194560185185185</v>
      </c>
      <c r="C321" s="34" t="inlineStr">
        <is>
          <t>QNB Finansbank</t>
        </is>
      </c>
      <c r="D321" t="inlineStr">
        <is>
          <t>DOLAR</t>
        </is>
      </c>
      <c r="E321" s="5" t="n">
        <v>47.505</v>
      </c>
      <c r="F321" s="5" t="n">
        <v>48.725</v>
      </c>
      <c r="G321" s="5">
        <f>IF(OR(E321="",F321=""),"",F321-E321)</f>
        <v/>
      </c>
      <c r="H321" s="6">
        <f>IFERROR(G321/E321,"")</f>
        <v/>
      </c>
      <c r="I321" s="44" t="inlineStr">
        <is>
          <t>DOĞRU</t>
        </is>
      </c>
      <c r="J321" s="45" t="inlineStr">
        <is>
          <t>https://kur.doviz.com/serbest-piyasa/amerikan-dolari</t>
        </is>
      </c>
      <c r="K321" s="5" t="n">
        <v>1.22</v>
      </c>
      <c r="L321" s="6" t="n">
        <v>0.0257</v>
      </c>
      <c r="M321" s="46" t="inlineStr"/>
      <c r="N321" s="47" t="n">
        <v>0.6196180555555556</v>
      </c>
    </row>
    <row r="322">
      <c r="A322" s="2" t="n">
        <v>46262</v>
      </c>
      <c r="B322" s="3" t="n">
        <v>0.5570949074074074</v>
      </c>
      <c r="C322" s="34" t="inlineStr">
        <is>
          <t>QNB Finansbank</t>
        </is>
      </c>
      <c r="D322" t="inlineStr">
        <is>
          <t>EURO</t>
        </is>
      </c>
      <c r="E322" s="5" t="n">
        <v>55.1797</v>
      </c>
      <c r="F322" s="5" t="n">
        <v>56.8399</v>
      </c>
      <c r="G322" s="5">
        <f>IF(OR(E322="",F322=""),"",F322-E322)</f>
        <v/>
      </c>
      <c r="H322" s="6">
        <f>IFERROR(G322/E322,"")</f>
        <v/>
      </c>
      <c r="I322" s="44" t="inlineStr">
        <is>
          <t>DOĞRU</t>
        </is>
      </c>
      <c r="J322" s="45" t="inlineStr">
        <is>
          <t>https://kur.doviz.com/serbest-piyasa/euro</t>
        </is>
      </c>
      <c r="K322" s="5" t="n">
        <v>1.6602</v>
      </c>
      <c r="L322" s="6" t="n">
        <v>0.0301</v>
      </c>
      <c r="M322" s="46" t="inlineStr"/>
      <c r="N322" s="47" t="n">
        <v>0.5574074074074075</v>
      </c>
    </row>
    <row r="323">
      <c r="A323" s="2" t="n">
        <v>46262</v>
      </c>
      <c r="B323" s="3" t="n">
        <v>0.5665625</v>
      </c>
      <c r="C323" s="34" t="inlineStr">
        <is>
          <t>QNB Finansbank</t>
        </is>
      </c>
      <c r="D323" t="inlineStr">
        <is>
          <t>EURO</t>
        </is>
      </c>
      <c r="E323" s="5" t="n">
        <v>55.2034</v>
      </c>
      <c r="F323" s="5" t="n">
        <v>56.8692</v>
      </c>
      <c r="G323" s="5">
        <f>IF(OR(E323="",F323=""),"",F323-E323)</f>
        <v/>
      </c>
      <c r="H323" s="6">
        <f>IFERROR(G323/E323,"")</f>
        <v/>
      </c>
      <c r="I323" s="44" t="inlineStr">
        <is>
          <t>DOĞRU</t>
        </is>
      </c>
      <c r="J323" s="45" t="inlineStr">
        <is>
          <t>https://kur.doviz.com/serbest-piyasa/euro</t>
        </is>
      </c>
      <c r="K323" s="5" t="n">
        <v>1.6658</v>
      </c>
      <c r="L323" s="6" t="n">
        <v>0.0302</v>
      </c>
      <c r="M323" s="46" t="inlineStr"/>
      <c r="N323" s="47" t="n">
        <v>0.5669097222222222</v>
      </c>
    </row>
    <row r="324">
      <c r="A324" s="2" t="n">
        <v>46262</v>
      </c>
      <c r="B324" s="3" t="n">
        <v>0.6021875</v>
      </c>
      <c r="C324" s="34" t="inlineStr">
        <is>
          <t>QNB Finansbank</t>
        </is>
      </c>
      <c r="D324" t="inlineStr">
        <is>
          <t>EURO</t>
        </is>
      </c>
      <c r="E324" s="5" t="n">
        <v>55.2088</v>
      </c>
      <c r="F324" s="5" t="n">
        <v>56.8747</v>
      </c>
      <c r="G324" s="5">
        <f>IF(OR(E324="",F324=""),"",F324-E324)</f>
        <v/>
      </c>
      <c r="H324" s="6">
        <f>IFERROR(G324/E324,"")</f>
        <v/>
      </c>
      <c r="I324" s="44" t="inlineStr">
        <is>
          <t>DOĞRU</t>
        </is>
      </c>
      <c r="J324" s="45" t="inlineStr">
        <is>
          <t>https://kur.doviz.com/serbest-piyasa/euro</t>
        </is>
      </c>
      <c r="K324" s="5" t="n">
        <v>1.6659</v>
      </c>
      <c r="L324" s="6" t="n">
        <v>0.0302</v>
      </c>
      <c r="M324" s="46" t="inlineStr"/>
      <c r="N324" s="47" t="n">
        <v>0.6024884259259259</v>
      </c>
    </row>
    <row r="325">
      <c r="A325" s="2" t="n">
        <v>46262</v>
      </c>
      <c r="B325" s="3" t="n">
        <v>0.6194560185185185</v>
      </c>
      <c r="C325" s="34" t="inlineStr">
        <is>
          <t>QNB Finansbank</t>
        </is>
      </c>
      <c r="D325" t="inlineStr">
        <is>
          <t>EURO</t>
        </is>
      </c>
      <c r="E325" s="5" t="n">
        <v>55.1987</v>
      </c>
      <c r="F325" s="5" t="n">
        <v>56.8643</v>
      </c>
      <c r="G325" s="5">
        <f>IF(OR(E325="",F325=""),"",F325-E325)</f>
        <v/>
      </c>
      <c r="H325" s="6">
        <f>IFERROR(G325/E325,"")</f>
        <v/>
      </c>
      <c r="I325" s="44" t="inlineStr">
        <is>
          <t>DOĞRU</t>
        </is>
      </c>
      <c r="J325" s="45" t="inlineStr">
        <is>
          <t>https://kur.doviz.com/serbest-piyasa/euro</t>
        </is>
      </c>
      <c r="K325" s="5" t="n">
        <v>1.67</v>
      </c>
      <c r="L325" s="6" t="n">
        <v>0.0302</v>
      </c>
      <c r="M325" s="46" t="inlineStr"/>
      <c r="N325" s="47" t="n">
        <v>0.6196990740740741</v>
      </c>
    </row>
    <row r="326">
      <c r="A326" s="2" t="n">
        <v>46262</v>
      </c>
      <c r="B326" s="3" t="n">
        <v>0.5570949074074074</v>
      </c>
      <c r="C326" s="34" t="inlineStr">
        <is>
          <t>QNB Finansbank</t>
        </is>
      </c>
      <c r="D326" t="inlineStr">
        <is>
          <t>GRAM_ALTIN</t>
        </is>
      </c>
      <c r="E326" s="5" t="n">
        <v>6981.54</v>
      </c>
      <c r="F326" s="5" t="n">
        <v>7191.96</v>
      </c>
      <c r="G326" s="5">
        <f>IF(OR(E326="",F326=""),"",F326-E326)</f>
        <v/>
      </c>
      <c r="H326" s="6">
        <f>IFERROR(G326/E326,"")</f>
        <v/>
      </c>
      <c r="I326" s="44" t="inlineStr">
        <is>
          <t>DOĞRU</t>
        </is>
      </c>
      <c r="J326" s="45" t="inlineStr">
        <is>
          <t>https://altin.doviz.com/gram-altin</t>
        </is>
      </c>
      <c r="K326" s="5" t="n">
        <v>210.42</v>
      </c>
      <c r="L326" s="6" t="n">
        <v>0.0301</v>
      </c>
      <c r="M326" s="46" t="inlineStr"/>
      <c r="N326" s="47" t="n">
        <v>0.5575578703703704</v>
      </c>
    </row>
    <row r="327">
      <c r="A327" s="2" t="n">
        <v>46262</v>
      </c>
      <c r="B327" s="3" t="n">
        <v>0.5665625</v>
      </c>
      <c r="C327" s="34" t="inlineStr">
        <is>
          <t>QNB Finansbank</t>
        </is>
      </c>
      <c r="D327" t="inlineStr">
        <is>
          <t>GRAM_ALTIN</t>
        </is>
      </c>
      <c r="E327" s="5" t="n">
        <v>6986.46</v>
      </c>
      <c r="F327" s="5" t="n">
        <v>7197.13</v>
      </c>
      <c r="G327" s="5">
        <f>IF(OR(E327="",F327=""),"",F327-E327)</f>
        <v/>
      </c>
      <c r="H327" s="6">
        <f>IFERROR(G327/E327,"")</f>
        <v/>
      </c>
      <c r="I327" s="44" t="inlineStr">
        <is>
          <t>DOĞRU</t>
        </is>
      </c>
      <c r="J327" s="45" t="inlineStr">
        <is>
          <t>https://altin.doviz.com/gram-altin</t>
        </is>
      </c>
      <c r="K327" s="5" t="n">
        <v>210.68</v>
      </c>
      <c r="L327" s="6" t="n">
        <v>0.0302</v>
      </c>
      <c r="M327" s="46" t="inlineStr"/>
      <c r="N327" s="47" t="n">
        <v>0.5670601851851852</v>
      </c>
    </row>
    <row r="328">
      <c r="A328" s="2" t="n">
        <v>46262</v>
      </c>
      <c r="B328" s="3" t="n">
        <v>0.6021875</v>
      </c>
      <c r="C328" s="34" t="inlineStr">
        <is>
          <t>QNB Finansbank</t>
        </is>
      </c>
      <c r="D328" t="inlineStr">
        <is>
          <t>GRAM_ALTIN</t>
        </is>
      </c>
      <c r="E328" s="5" t="n">
        <v>6976.78</v>
      </c>
      <c r="F328" s="5" t="n">
        <v>7187.07</v>
      </c>
      <c r="G328" s="5">
        <f>IF(OR(E328="",F328=""),"",F328-E328)</f>
        <v/>
      </c>
      <c r="H328" s="6">
        <f>IFERROR(G328/E328,"")</f>
        <v/>
      </c>
      <c r="I328" s="44" t="inlineStr">
        <is>
          <t>DOĞRU</t>
        </is>
      </c>
      <c r="J328" s="45" t="inlineStr">
        <is>
          <t>https://altin.doviz.com/gram-altin</t>
        </is>
      </c>
      <c r="K328" s="5" t="n">
        <v>210.29</v>
      </c>
      <c r="L328" s="6" t="n">
        <v>0.0301</v>
      </c>
      <c r="M328" s="46" t="inlineStr"/>
      <c r="N328" s="47" t="n">
        <v>0.6026388888888888</v>
      </c>
    </row>
    <row r="329">
      <c r="A329" s="2" t="n">
        <v>46262</v>
      </c>
      <c r="B329" s="3" t="n">
        <v>0.6194560185185185</v>
      </c>
      <c r="C329" s="34" t="inlineStr">
        <is>
          <t>QNB Finansbank</t>
        </is>
      </c>
      <c r="D329" t="inlineStr">
        <is>
          <t>GRAM_ALTIN</t>
        </is>
      </c>
      <c r="E329" s="5" t="n">
        <v>6967.41</v>
      </c>
      <c r="F329" s="5" t="n">
        <v>7177.58</v>
      </c>
      <c r="G329" s="5">
        <f>IF(OR(E329="",F329=""),"",F329-E329)</f>
        <v/>
      </c>
      <c r="H329" s="6">
        <f>IFERROR(G329/E329,"")</f>
        <v/>
      </c>
      <c r="I329" s="44" t="inlineStr">
        <is>
          <t>DOĞRU</t>
        </is>
      </c>
      <c r="J329" s="45" t="inlineStr">
        <is>
          <t>https://altin.doviz.com/gram-altin</t>
        </is>
      </c>
      <c r="K329" s="5" t="n">
        <v>210.17</v>
      </c>
      <c r="L329" s="6" t="n">
        <v>0.0302</v>
      </c>
      <c r="M329" s="46" t="inlineStr"/>
      <c r="N329" s="47" t="n">
        <v>0.619849537037037</v>
      </c>
    </row>
    <row r="330">
      <c r="A330" s="2" t="n">
        <v>46262</v>
      </c>
      <c r="B330" s="3" t="n">
        <v>0.5570949074074074</v>
      </c>
      <c r="C330" s="35" t="inlineStr">
        <is>
          <t>TOM Bank Hadi</t>
        </is>
      </c>
      <c r="D330" t="inlineStr">
        <is>
          <t>DOLAR</t>
        </is>
      </c>
      <c r="E330" s="5" t="n">
        <v>48.1001</v>
      </c>
      <c r="F330" s="5" t="n">
        <v>48.3413</v>
      </c>
      <c r="G330" s="5">
        <f>IF(OR(E330="",F330=""),"",F330-E330)</f>
        <v/>
      </c>
      <c r="H330" s="6">
        <f>IFERROR(G330/E330,"")</f>
        <v/>
      </c>
      <c r="I330" s="44" t="inlineStr">
        <is>
          <t>DOĞRU</t>
        </is>
      </c>
      <c r="J330" s="45" t="inlineStr">
        <is>
          <t>https://kur.doviz.com/serbest-piyasa/amerikan-dolari</t>
        </is>
      </c>
      <c r="K330" s="5" t="n">
        <v>0.2412</v>
      </c>
      <c r="L330" s="6" t="n">
        <v>0.005</v>
      </c>
      <c r="M330" s="46" t="inlineStr"/>
      <c r="N330" s="47" t="n">
        <v>0.5572569444444444</v>
      </c>
    </row>
    <row r="331">
      <c r="A331" s="2" t="n">
        <v>46262</v>
      </c>
      <c r="B331" s="3" t="n">
        <v>0.5665625</v>
      </c>
      <c r="C331" s="35" t="inlineStr">
        <is>
          <t>TOM Bank Hadi</t>
        </is>
      </c>
      <c r="D331" t="inlineStr">
        <is>
          <t>DOLAR</t>
        </is>
      </c>
      <c r="E331" s="5" t="n">
        <v>48.1003</v>
      </c>
      <c r="F331" s="5" t="n">
        <v>48.3415</v>
      </c>
      <c r="G331" s="5">
        <f>IF(OR(E331="",F331=""),"",F331-E331)</f>
        <v/>
      </c>
      <c r="H331" s="6">
        <f>IFERROR(G331/E331,"")</f>
        <v/>
      </c>
      <c r="I331" s="44" t="inlineStr">
        <is>
          <t>DOĞRU</t>
        </is>
      </c>
      <c r="J331" s="45" t="inlineStr">
        <is>
          <t>https://kur.doviz.com/serbest-piyasa/amerikan-dolari</t>
        </is>
      </c>
      <c r="K331" s="5" t="n">
        <v>0.2412</v>
      </c>
      <c r="L331" s="6" t="n">
        <v>0.005</v>
      </c>
      <c r="M331" s="46" t="inlineStr"/>
      <c r="N331" s="47" t="n">
        <v>0.5667592592592593</v>
      </c>
    </row>
    <row r="332">
      <c r="A332" s="2" t="n">
        <v>46262</v>
      </c>
      <c r="B332" s="3" t="n">
        <v>0.6021875</v>
      </c>
      <c r="C332" s="35" t="inlineStr">
        <is>
          <t>TOM Bank Hadi</t>
        </is>
      </c>
      <c r="D332" t="inlineStr">
        <is>
          <t>DOLAR</t>
        </is>
      </c>
      <c r="E332" s="5" t="n">
        <v>48.1003</v>
      </c>
      <c r="F332" s="5" t="n">
        <v>48.3415</v>
      </c>
      <c r="G332" s="5">
        <f>IF(OR(E332="",F332=""),"",F332-E332)</f>
        <v/>
      </c>
      <c r="H332" s="6">
        <f>IFERROR(G332/E332,"")</f>
        <v/>
      </c>
      <c r="I332" s="44" t="inlineStr">
        <is>
          <t>DOĞRU</t>
        </is>
      </c>
      <c r="J332" s="45" t="inlineStr">
        <is>
          <t>https://kur.doviz.com/serbest-piyasa/amerikan-dolari</t>
        </is>
      </c>
      <c r="K332" s="5" t="n">
        <v>0.2412</v>
      </c>
      <c r="L332" s="6" t="n">
        <v>0.005</v>
      </c>
      <c r="M332" s="46" t="inlineStr"/>
      <c r="N332" s="47" t="n">
        <v>0.6023379629629629</v>
      </c>
    </row>
    <row r="333">
      <c r="A333" s="2" t="n">
        <v>46262</v>
      </c>
      <c r="B333" s="3" t="n">
        <v>0.6194560185185185</v>
      </c>
      <c r="C333" s="35" t="inlineStr">
        <is>
          <t>TOM Bank Hadi</t>
        </is>
      </c>
      <c r="D333" t="inlineStr">
        <is>
          <t>DOLAR</t>
        </is>
      </c>
      <c r="E333" s="5" t="n">
        <v>48.1002</v>
      </c>
      <c r="F333" s="5" t="n">
        <v>48.3414</v>
      </c>
      <c r="G333" s="5">
        <f>IF(OR(E333="",F333=""),"",F333-E333)</f>
        <v/>
      </c>
      <c r="H333" s="6">
        <f>IFERROR(G333/E333,"")</f>
        <v/>
      </c>
      <c r="I333" s="44" t="inlineStr">
        <is>
          <t>DOĞRU</t>
        </is>
      </c>
      <c r="J333" s="45" t="inlineStr">
        <is>
          <t>https://kur.doviz.com/serbest-piyasa/amerikan-dolari</t>
        </is>
      </c>
      <c r="K333" s="5" t="n">
        <v>0.2412</v>
      </c>
      <c r="L333" s="6" t="n">
        <v>0.005</v>
      </c>
      <c r="M333" s="46" t="inlineStr"/>
      <c r="N333" s="47" t="n">
        <v>0.6196180555555556</v>
      </c>
    </row>
    <row r="334">
      <c r="A334" s="2" t="n">
        <v>46262</v>
      </c>
      <c r="B334" s="3" t="n">
        <v>0.5570949074074074</v>
      </c>
      <c r="C334" s="35" t="inlineStr">
        <is>
          <t>TOM Bank Hadi</t>
        </is>
      </c>
      <c r="D334" t="inlineStr">
        <is>
          <t>EURO</t>
        </is>
      </c>
      <c r="E334" s="5" t="n">
        <v>55.9358</v>
      </c>
      <c r="F334" s="5" t="n">
        <v>56.2728</v>
      </c>
      <c r="G334" s="5">
        <f>IF(OR(E334="",F334=""),"",F334-E334)</f>
        <v/>
      </c>
      <c r="H334" s="6">
        <f>IFERROR(G334/E334,"")</f>
        <v/>
      </c>
      <c r="I334" s="44" t="inlineStr">
        <is>
          <t>DOĞRU</t>
        </is>
      </c>
      <c r="J334" s="45" t="inlineStr">
        <is>
          <t>https://kur.doviz.com/serbest-piyasa/euro</t>
        </is>
      </c>
      <c r="K334" s="5" t="n">
        <v>0.337</v>
      </c>
      <c r="L334" s="6" t="n">
        <v>0.006</v>
      </c>
      <c r="M334" s="46" t="inlineStr"/>
      <c r="N334" s="47" t="n">
        <v>0.5574074074074075</v>
      </c>
    </row>
    <row r="335">
      <c r="A335" s="2" t="n">
        <v>46262</v>
      </c>
      <c r="B335" s="3" t="n">
        <v>0.5665625</v>
      </c>
      <c r="C335" s="35" t="inlineStr">
        <is>
          <t>TOM Bank Hadi</t>
        </is>
      </c>
      <c r="D335" t="inlineStr">
        <is>
          <t>EURO</t>
        </is>
      </c>
      <c r="E335" s="5" t="n">
        <v>55.9595</v>
      </c>
      <c r="F335" s="5" t="n">
        <v>56.2966</v>
      </c>
      <c r="G335" s="5">
        <f>IF(OR(E335="",F335=""),"",F335-E335)</f>
        <v/>
      </c>
      <c r="H335" s="6">
        <f>IFERROR(G335/E335,"")</f>
        <v/>
      </c>
      <c r="I335" s="44" t="inlineStr">
        <is>
          <t>DOĞRU</t>
        </is>
      </c>
      <c r="J335" s="45" t="inlineStr">
        <is>
          <t>https://kur.doviz.com/serbest-piyasa/euro</t>
        </is>
      </c>
      <c r="K335" s="5" t="n">
        <v>0.3371</v>
      </c>
      <c r="L335" s="6" t="n">
        <v>0.006</v>
      </c>
      <c r="M335" s="46" t="inlineStr"/>
      <c r="N335" s="47" t="n">
        <v>0.5669097222222222</v>
      </c>
    </row>
    <row r="336">
      <c r="A336" s="2" t="n">
        <v>46262</v>
      </c>
      <c r="B336" s="3" t="n">
        <v>0.6021875</v>
      </c>
      <c r="C336" s="35" t="inlineStr">
        <is>
          <t>TOM Bank Hadi</t>
        </is>
      </c>
      <c r="D336" t="inlineStr">
        <is>
          <t>EURO</t>
        </is>
      </c>
      <c r="E336" s="5" t="n">
        <v>55.9672</v>
      </c>
      <c r="F336" s="5" t="n">
        <v>56.3043</v>
      </c>
      <c r="G336" s="5">
        <f>IF(OR(E336="",F336=""),"",F336-E336)</f>
        <v/>
      </c>
      <c r="H336" s="6">
        <f>IFERROR(G336/E336,"")</f>
        <v/>
      </c>
      <c r="I336" s="44" t="inlineStr">
        <is>
          <t>DOĞRU</t>
        </is>
      </c>
      <c r="J336" s="45" t="inlineStr">
        <is>
          <t>https://kur.doviz.com/serbest-piyasa/euro</t>
        </is>
      </c>
      <c r="K336" s="5" t="n">
        <v>0.3371</v>
      </c>
      <c r="L336" s="6" t="n">
        <v>0.006</v>
      </c>
      <c r="M336" s="46" t="inlineStr"/>
      <c r="N336" s="47" t="n">
        <v>0.6024884259259259</v>
      </c>
    </row>
    <row r="337">
      <c r="A337" s="2" t="n">
        <v>46262</v>
      </c>
      <c r="B337" s="3" t="n">
        <v>0.6194560185185185</v>
      </c>
      <c r="C337" s="35" t="inlineStr">
        <is>
          <t>TOM Bank Hadi</t>
        </is>
      </c>
      <c r="D337" t="inlineStr">
        <is>
          <t>EURO</t>
        </is>
      </c>
      <c r="E337" s="5" t="n">
        <v>55.9613</v>
      </c>
      <c r="F337" s="5" t="n">
        <v>56.2984</v>
      </c>
      <c r="G337" s="5">
        <f>IF(OR(E337="",F337=""),"",F337-E337)</f>
        <v/>
      </c>
      <c r="H337" s="6">
        <f>IFERROR(G337/E337,"")</f>
        <v/>
      </c>
      <c r="I337" s="44" t="inlineStr">
        <is>
          <t>DOĞRU</t>
        </is>
      </c>
      <c r="J337" s="45" t="inlineStr">
        <is>
          <t>https://kur.doviz.com/serbest-piyasa/euro</t>
        </is>
      </c>
      <c r="K337" s="5" t="n">
        <v>0.34</v>
      </c>
      <c r="L337" s="6" t="n">
        <v>0.006</v>
      </c>
      <c r="M337" s="46" t="inlineStr"/>
      <c r="N337" s="47" t="n">
        <v>0.6196990740740741</v>
      </c>
    </row>
    <row r="338">
      <c r="A338" s="2" t="n">
        <v>46262</v>
      </c>
      <c r="B338" s="3" t="n">
        <v>0.5570949074074074</v>
      </c>
      <c r="C338" s="35" t="inlineStr">
        <is>
          <t>TOM Bank Hadi</t>
        </is>
      </c>
      <c r="D338" t="inlineStr">
        <is>
          <t>GRAM_ALTIN</t>
        </is>
      </c>
      <c r="E338" s="5" t="n">
        <v>6981.88</v>
      </c>
      <c r="F338" s="5" t="n">
        <v>7124.01</v>
      </c>
      <c r="G338" s="5">
        <f>IF(OR(E338="",F338=""),"",F338-E338)</f>
        <v/>
      </c>
      <c r="H338" s="6">
        <f>IFERROR(G338/E338,"")</f>
        <v/>
      </c>
      <c r="I338" s="44" t="inlineStr">
        <is>
          <t>DOĞRU</t>
        </is>
      </c>
      <c r="J338" s="45" t="inlineStr">
        <is>
          <t>https://altin.doviz.com/gram-altin</t>
        </is>
      </c>
      <c r="K338" s="5" t="n">
        <v>142.12</v>
      </c>
      <c r="L338" s="6" t="n">
        <v>0.0204</v>
      </c>
      <c r="M338" s="46" t="inlineStr"/>
      <c r="N338" s="47" t="n">
        <v>0.5575578703703704</v>
      </c>
    </row>
    <row r="339">
      <c r="A339" s="2" t="n">
        <v>46262</v>
      </c>
      <c r="B339" s="3" t="n">
        <v>0.5665625</v>
      </c>
      <c r="C339" s="35" t="inlineStr">
        <is>
          <t>TOM Bank Hadi</t>
        </is>
      </c>
      <c r="D339" t="inlineStr">
        <is>
          <t>GRAM_ALTIN</t>
        </is>
      </c>
      <c r="E339" s="5" t="n">
        <v>6985.71</v>
      </c>
      <c r="F339" s="5" t="n">
        <v>7127.91</v>
      </c>
      <c r="G339" s="5">
        <f>IF(OR(E339="",F339=""),"",F339-E339)</f>
        <v/>
      </c>
      <c r="H339" s="6">
        <f>IFERROR(G339/E339,"")</f>
        <v/>
      </c>
      <c r="I339" s="44" t="inlineStr">
        <is>
          <t>DOĞRU</t>
        </is>
      </c>
      <c r="J339" s="45" t="inlineStr">
        <is>
          <t>https://altin.doviz.com/gram-altin</t>
        </is>
      </c>
      <c r="K339" s="5" t="n">
        <v>142.2</v>
      </c>
      <c r="L339" s="6" t="n">
        <v>0.0204</v>
      </c>
      <c r="M339" s="46" t="inlineStr"/>
      <c r="N339" s="47" t="n">
        <v>0.5670601851851852</v>
      </c>
    </row>
    <row r="340">
      <c r="A340" s="2" t="n">
        <v>46262</v>
      </c>
      <c r="B340" s="3" t="n">
        <v>0.6021875</v>
      </c>
      <c r="C340" s="35" t="inlineStr">
        <is>
          <t>TOM Bank Hadi</t>
        </is>
      </c>
      <c r="D340" t="inlineStr">
        <is>
          <t>GRAM_ALTIN</t>
        </is>
      </c>
      <c r="E340" s="5" t="n">
        <v>6976.5</v>
      </c>
      <c r="F340" s="5" t="n">
        <v>7118.51</v>
      </c>
      <c r="G340" s="5">
        <f>IF(OR(E340="",F340=""),"",F340-E340)</f>
        <v/>
      </c>
      <c r="H340" s="6">
        <f>IFERROR(G340/E340,"")</f>
        <v/>
      </c>
      <c r="I340" s="44" t="inlineStr">
        <is>
          <t>DOĞRU</t>
        </is>
      </c>
      <c r="J340" s="45" t="inlineStr">
        <is>
          <t>https://altin.doviz.com/gram-altin</t>
        </is>
      </c>
      <c r="K340" s="5" t="n">
        <v>142.02</v>
      </c>
      <c r="L340" s="6" t="n">
        <v>0.0204</v>
      </c>
      <c r="M340" s="46" t="inlineStr"/>
      <c r="N340" s="47" t="n">
        <v>0.6026388888888888</v>
      </c>
    </row>
    <row r="341">
      <c r="A341" s="2" t="n">
        <v>46262</v>
      </c>
      <c r="B341" s="3" t="n">
        <v>0.6194560185185185</v>
      </c>
      <c r="C341" s="35" t="inlineStr">
        <is>
          <t>TOM Bank Hadi</t>
        </is>
      </c>
      <c r="D341" t="inlineStr">
        <is>
          <t>GRAM_ALTIN</t>
        </is>
      </c>
      <c r="E341" s="5" t="n">
        <v>6967.43</v>
      </c>
      <c r="F341" s="5" t="n">
        <v>7109.26</v>
      </c>
      <c r="G341" s="5">
        <f>IF(OR(E341="",F341=""),"",F341-E341)</f>
        <v/>
      </c>
      <c r="H341" s="6">
        <f>IFERROR(G341/E341,"")</f>
        <v/>
      </c>
      <c r="I341" s="44" t="inlineStr">
        <is>
          <t>DOĞRU</t>
        </is>
      </c>
      <c r="J341" s="45" t="inlineStr">
        <is>
          <t>https://altin.doviz.com/gram-altin</t>
        </is>
      </c>
      <c r="K341" s="5" t="n">
        <v>141.83</v>
      </c>
      <c r="L341" s="6" t="n">
        <v>0.0204</v>
      </c>
      <c r="M341" s="46" t="inlineStr"/>
      <c r="N341" s="47" t="n">
        <v>0.619849537037037</v>
      </c>
    </row>
    <row r="342">
      <c r="A342" s="2" t="n">
        <v>46262</v>
      </c>
      <c r="B342" s="3" t="n">
        <v>0.5570949074074074</v>
      </c>
      <c r="C342" s="36" t="inlineStr">
        <is>
          <t>Türkiye Finans</t>
        </is>
      </c>
      <c r="D342" t="inlineStr">
        <is>
          <t>DOLAR</t>
        </is>
      </c>
      <c r="E342" s="5" t="n">
        <v>47.7074</v>
      </c>
      <c r="F342" s="5" t="n">
        <v>48.5152</v>
      </c>
      <c r="G342" s="5">
        <f>IF(OR(E342="",F342=""),"",F342-E342)</f>
        <v/>
      </c>
      <c r="H342" s="6">
        <f>IFERROR(G342/E342,"")</f>
        <v/>
      </c>
      <c r="I342" s="44" t="inlineStr">
        <is>
          <t>DOĞRU</t>
        </is>
      </c>
      <c r="J342" s="45" t="inlineStr">
        <is>
          <t>https://kur.doviz.com/serbest-piyasa/amerikan-dolari</t>
        </is>
      </c>
      <c r="K342" s="5" t="n">
        <v>0.8078</v>
      </c>
      <c r="L342" s="6" t="n">
        <v>0.0169</v>
      </c>
      <c r="M342" s="46" t="inlineStr"/>
      <c r="N342" s="47" t="n">
        <v>0.5572569444444444</v>
      </c>
    </row>
    <row r="343">
      <c r="A343" s="2" t="n">
        <v>46262</v>
      </c>
      <c r="B343" s="3" t="n">
        <v>0.5665625</v>
      </c>
      <c r="C343" s="36" t="inlineStr">
        <is>
          <t>Türkiye Finans</t>
        </is>
      </c>
      <c r="D343" t="inlineStr">
        <is>
          <t>DOLAR</t>
        </is>
      </c>
      <c r="E343" s="5" t="n">
        <v>47.7072</v>
      </c>
      <c r="F343" s="5" t="n">
        <v>48.5151</v>
      </c>
      <c r="G343" s="5">
        <f>IF(OR(E343="",F343=""),"",F343-E343)</f>
        <v/>
      </c>
      <c r="H343" s="6">
        <f>IFERROR(G343/E343,"")</f>
        <v/>
      </c>
      <c r="I343" s="44" t="inlineStr">
        <is>
          <t>DOĞRU</t>
        </is>
      </c>
      <c r="J343" s="45" t="inlineStr">
        <is>
          <t>https://kur.doviz.com/serbest-piyasa/amerikan-dolari</t>
        </is>
      </c>
      <c r="K343" s="5" t="n">
        <v>0.8079</v>
      </c>
      <c r="L343" s="6" t="n">
        <v>0.0169</v>
      </c>
      <c r="M343" s="46" t="inlineStr"/>
      <c r="N343" s="47" t="n">
        <v>0.5667592592592593</v>
      </c>
    </row>
    <row r="344">
      <c r="A344" s="2" t="n">
        <v>46262</v>
      </c>
      <c r="B344" s="3" t="n">
        <v>0.6021875</v>
      </c>
      <c r="C344" s="36" t="inlineStr">
        <is>
          <t>Türkiye Finans</t>
        </is>
      </c>
      <c r="D344" t="inlineStr">
        <is>
          <t>DOLAR</t>
        </is>
      </c>
      <c r="E344" s="5" t="n">
        <v>47.7072</v>
      </c>
      <c r="F344" s="5" t="n">
        <v>48.5151</v>
      </c>
      <c r="G344" s="5">
        <f>IF(OR(E344="",F344=""),"",F344-E344)</f>
        <v/>
      </c>
      <c r="H344" s="6">
        <f>IFERROR(G344/E344,"")</f>
        <v/>
      </c>
      <c r="I344" s="44" t="inlineStr">
        <is>
          <t>DOĞRU</t>
        </is>
      </c>
      <c r="J344" s="45" t="inlineStr">
        <is>
          <t>https://kur.doviz.com/serbest-piyasa/amerikan-dolari</t>
        </is>
      </c>
      <c r="K344" s="5" t="n">
        <v>0.8079</v>
      </c>
      <c r="L344" s="6" t="n">
        <v>0.0169</v>
      </c>
      <c r="M344" s="46" t="inlineStr"/>
      <c r="N344" s="47" t="n">
        <v>0.6023379629629629</v>
      </c>
    </row>
    <row r="345">
      <c r="A345" s="2" t="n">
        <v>46262</v>
      </c>
      <c r="B345" s="3" t="n">
        <v>0.6194560185185185</v>
      </c>
      <c r="C345" s="36" t="inlineStr">
        <is>
          <t>Türkiye Finans</t>
        </is>
      </c>
      <c r="D345" t="inlineStr">
        <is>
          <t>DOLAR</t>
        </is>
      </c>
      <c r="E345" s="5" t="n">
        <v>47.7072</v>
      </c>
      <c r="F345" s="5" t="n">
        <v>48.5151</v>
      </c>
      <c r="G345" s="5">
        <f>IF(OR(E345="",F345=""),"",F345-E345)</f>
        <v/>
      </c>
      <c r="H345" s="6">
        <f>IFERROR(G345/E345,"")</f>
        <v/>
      </c>
      <c r="I345" s="44" t="inlineStr">
        <is>
          <t>DOĞRU</t>
        </is>
      </c>
      <c r="J345" s="45" t="inlineStr">
        <is>
          <t>https://kur.doviz.com/serbest-piyasa/amerikan-dolari</t>
        </is>
      </c>
      <c r="K345" s="5" t="n">
        <v>0.8079</v>
      </c>
      <c r="L345" s="6" t="n">
        <v>0.0169</v>
      </c>
      <c r="M345" s="46" t="inlineStr"/>
      <c r="N345" s="47" t="n">
        <v>0.6196180555555556</v>
      </c>
    </row>
    <row r="346">
      <c r="A346" s="2" t="n">
        <v>46262</v>
      </c>
      <c r="B346" s="3" t="n">
        <v>0.5570949074074074</v>
      </c>
      <c r="C346" s="36" t="inlineStr">
        <is>
          <t>Türkiye Finans</t>
        </is>
      </c>
      <c r="D346" t="inlineStr">
        <is>
          <t>EURO</t>
        </is>
      </c>
      <c r="E346" s="5" t="n">
        <v>55.569</v>
      </c>
      <c r="F346" s="5" t="n">
        <v>56.4279</v>
      </c>
      <c r="G346" s="5">
        <f>IF(OR(E346="",F346=""),"",F346-E346)</f>
        <v/>
      </c>
      <c r="H346" s="6">
        <f>IFERROR(G346/E346,"")</f>
        <v/>
      </c>
      <c r="I346" s="44" t="inlineStr">
        <is>
          <t>DOĞRU</t>
        </is>
      </c>
      <c r="J346" s="45" t="inlineStr">
        <is>
          <t>https://kur.doviz.com/serbest-piyasa/euro</t>
        </is>
      </c>
      <c r="K346" s="5" t="n">
        <v>0.8589</v>
      </c>
      <c r="L346" s="6" t="n">
        <v>0.0155</v>
      </c>
      <c r="M346" s="46" t="inlineStr"/>
      <c r="N346" s="47" t="n">
        <v>0.5574074074074075</v>
      </c>
    </row>
    <row r="347">
      <c r="A347" s="2" t="n">
        <v>46262</v>
      </c>
      <c r="B347" s="3" t="n">
        <v>0.5665625</v>
      </c>
      <c r="C347" s="36" t="inlineStr">
        <is>
          <t>Türkiye Finans</t>
        </is>
      </c>
      <c r="D347" t="inlineStr">
        <is>
          <t>EURO</t>
        </is>
      </c>
      <c r="E347" s="5" t="n">
        <v>55.5874</v>
      </c>
      <c r="F347" s="5" t="n">
        <v>56.447</v>
      </c>
      <c r="G347" s="5">
        <f>IF(OR(E347="",F347=""),"",F347-E347)</f>
        <v/>
      </c>
      <c r="H347" s="6">
        <f>IFERROR(G347/E347,"")</f>
        <v/>
      </c>
      <c r="I347" s="44" t="inlineStr">
        <is>
          <t>DOĞRU</t>
        </is>
      </c>
      <c r="J347" s="45" t="inlineStr">
        <is>
          <t>https://kur.doviz.com/serbest-piyasa/euro</t>
        </is>
      </c>
      <c r="K347" s="5" t="n">
        <v>0.8596</v>
      </c>
      <c r="L347" s="6" t="n">
        <v>0.0155</v>
      </c>
      <c r="M347" s="46" t="inlineStr"/>
      <c r="N347" s="47" t="n">
        <v>0.5669097222222222</v>
      </c>
    </row>
    <row r="348">
      <c r="A348" s="2" t="n">
        <v>46262</v>
      </c>
      <c r="B348" s="3" t="n">
        <v>0.6021875</v>
      </c>
      <c r="C348" s="36" t="inlineStr">
        <is>
          <t>Türkiye Finans</t>
        </is>
      </c>
      <c r="D348" t="inlineStr">
        <is>
          <t>EURO</t>
        </is>
      </c>
      <c r="E348" s="5" t="n">
        <v>55.5918</v>
      </c>
      <c r="F348" s="5" t="n">
        <v>56.4509</v>
      </c>
      <c r="G348" s="5">
        <f>IF(OR(E348="",F348=""),"",F348-E348)</f>
        <v/>
      </c>
      <c r="H348" s="6">
        <f>IFERROR(G348/E348,"")</f>
        <v/>
      </c>
      <c r="I348" s="44" t="inlineStr">
        <is>
          <t>DOĞRU</t>
        </is>
      </c>
      <c r="J348" s="45" t="inlineStr">
        <is>
          <t>https://kur.doviz.com/serbest-piyasa/euro</t>
        </is>
      </c>
      <c r="K348" s="5" t="n">
        <v>0.8591</v>
      </c>
      <c r="L348" s="6" t="n">
        <v>0.0155</v>
      </c>
      <c r="M348" s="46" t="inlineStr"/>
      <c r="N348" s="47" t="n">
        <v>0.6024884259259259</v>
      </c>
    </row>
    <row r="349">
      <c r="A349" s="2" t="n">
        <v>46262</v>
      </c>
      <c r="B349" s="3" t="n">
        <v>0.6194560185185185</v>
      </c>
      <c r="C349" s="36" t="inlineStr">
        <is>
          <t>Türkiye Finans</t>
        </is>
      </c>
      <c r="D349" t="inlineStr">
        <is>
          <t>EURO</t>
        </is>
      </c>
      <c r="E349" s="5" t="n">
        <v>55.5908</v>
      </c>
      <c r="F349" s="5" t="n">
        <v>56.45</v>
      </c>
      <c r="G349" s="5">
        <f>IF(OR(E349="",F349=""),"",F349-E349)</f>
        <v/>
      </c>
      <c r="H349" s="6">
        <f>IFERROR(G349/E349,"")</f>
        <v/>
      </c>
      <c r="I349" s="44" t="inlineStr">
        <is>
          <t>DOĞRU</t>
        </is>
      </c>
      <c r="J349" s="45" t="inlineStr">
        <is>
          <t>https://kur.doviz.com/serbest-piyasa/euro</t>
        </is>
      </c>
      <c r="K349" s="5" t="n">
        <v>0.86</v>
      </c>
      <c r="L349" s="6" t="n">
        <v>0.0155</v>
      </c>
      <c r="M349" s="46" t="inlineStr"/>
      <c r="N349" s="47" t="n">
        <v>0.6196990740740741</v>
      </c>
    </row>
    <row r="350">
      <c r="A350" s="2" t="n">
        <v>46262</v>
      </c>
      <c r="B350" s="3" t="n">
        <v>0.5570949074074074</v>
      </c>
      <c r="C350" s="36" t="inlineStr">
        <is>
          <t>Türkiye Finans</t>
        </is>
      </c>
      <c r="D350" t="inlineStr">
        <is>
          <t>GRAM_ALTIN</t>
        </is>
      </c>
      <c r="E350" s="5" t="n">
        <v>7023.07</v>
      </c>
      <c r="F350" s="5" t="n">
        <v>7220.82</v>
      </c>
      <c r="G350" s="5">
        <f>IF(OR(E350="",F350=""),"",F350-E350)</f>
        <v/>
      </c>
      <c r="H350" s="6">
        <f>IFERROR(G350/E350,"")</f>
        <v/>
      </c>
      <c r="I350" s="44" t="inlineStr">
        <is>
          <t>DOĞRU</t>
        </is>
      </c>
      <c r="J350" s="45" t="inlineStr">
        <is>
          <t>https://altin.doviz.com/gram-altin</t>
        </is>
      </c>
      <c r="K350" s="5" t="n">
        <v>197.74</v>
      </c>
      <c r="L350" s="6" t="n">
        <v>0.0282</v>
      </c>
      <c r="M350" s="46" t="inlineStr"/>
      <c r="N350" s="47" t="n">
        <v>0.5575578703703704</v>
      </c>
    </row>
    <row r="351">
      <c r="A351" s="2" t="n">
        <v>46262</v>
      </c>
      <c r="B351" s="3" t="n">
        <v>0.5665625</v>
      </c>
      <c r="C351" s="36" t="inlineStr">
        <is>
          <t>Türkiye Finans</t>
        </is>
      </c>
      <c r="D351" t="inlineStr">
        <is>
          <t>GRAM_ALTIN</t>
        </is>
      </c>
      <c r="E351" s="5" t="n">
        <v>7022.97</v>
      </c>
      <c r="F351" s="5" t="n">
        <v>7220.87</v>
      </c>
      <c r="G351" s="5">
        <f>IF(OR(E351="",F351=""),"",F351-E351)</f>
        <v/>
      </c>
      <c r="H351" s="6">
        <f>IFERROR(G351/E351,"")</f>
        <v/>
      </c>
      <c r="I351" s="44" t="inlineStr">
        <is>
          <t>DOĞRU</t>
        </is>
      </c>
      <c r="J351" s="45" t="inlineStr">
        <is>
          <t>https://altin.doviz.com/gram-altin</t>
        </is>
      </c>
      <c r="K351" s="5" t="n">
        <v>197.9</v>
      </c>
      <c r="L351" s="6" t="n">
        <v>0.0282</v>
      </c>
      <c r="M351" s="46" t="inlineStr"/>
      <c r="N351" s="47" t="n">
        <v>0.5670601851851852</v>
      </c>
    </row>
    <row r="352">
      <c r="A352" s="2" t="n">
        <v>46262</v>
      </c>
      <c r="B352" s="3" t="n">
        <v>0.6021875</v>
      </c>
      <c r="C352" s="36" t="inlineStr">
        <is>
          <t>Türkiye Finans</t>
        </is>
      </c>
      <c r="D352" t="inlineStr">
        <is>
          <t>GRAM_ALTIN</t>
        </is>
      </c>
      <c r="E352" s="5" t="n">
        <v>7010.19</v>
      </c>
      <c r="F352" s="5" t="n">
        <v>7208.25</v>
      </c>
      <c r="G352" s="5">
        <f>IF(OR(E352="",F352=""),"",F352-E352)</f>
        <v/>
      </c>
      <c r="H352" s="6">
        <f>IFERROR(G352/E352,"")</f>
        <v/>
      </c>
      <c r="I352" s="44" t="inlineStr">
        <is>
          <t>DOĞRU</t>
        </is>
      </c>
      <c r="J352" s="45" t="inlineStr">
        <is>
          <t>https://altin.doviz.com/gram-altin</t>
        </is>
      </c>
      <c r="K352" s="5" t="n">
        <v>198.06</v>
      </c>
      <c r="L352" s="6" t="n">
        <v>0.0283</v>
      </c>
      <c r="M352" s="46" t="inlineStr"/>
      <c r="N352" s="47" t="n">
        <v>0.6026388888888888</v>
      </c>
    </row>
    <row r="353">
      <c r="A353" s="2" t="n">
        <v>46262</v>
      </c>
      <c r="B353" s="3" t="n">
        <v>0.6194560185185185</v>
      </c>
      <c r="C353" s="36" t="inlineStr">
        <is>
          <t>Türkiye Finans</t>
        </is>
      </c>
      <c r="D353" t="inlineStr">
        <is>
          <t>GRAM_ALTIN</t>
        </is>
      </c>
      <c r="E353" s="5" t="n">
        <v>7003.59</v>
      </c>
      <c r="F353" s="5" t="n">
        <v>7201.61</v>
      </c>
      <c r="G353" s="5">
        <f>IF(OR(E353="",F353=""),"",F353-E353)</f>
        <v/>
      </c>
      <c r="H353" s="6">
        <f>IFERROR(G353/E353,"")</f>
        <v/>
      </c>
      <c r="I353" s="44" t="inlineStr">
        <is>
          <t>DOĞRU</t>
        </is>
      </c>
      <c r="J353" s="45" t="inlineStr">
        <is>
          <t>https://altin.doviz.com/gram-altin</t>
        </is>
      </c>
      <c r="K353" s="5" t="n">
        <v>198.02</v>
      </c>
      <c r="L353" s="6" t="n">
        <v>0.0283</v>
      </c>
      <c r="M353" s="46" t="inlineStr"/>
      <c r="N353" s="47" t="n">
        <v>0.619849537037037</v>
      </c>
    </row>
    <row r="354">
      <c r="A354" s="2" t="n">
        <v>46262</v>
      </c>
      <c r="B354" s="3" t="n">
        <v>0.5570949074074074</v>
      </c>
      <c r="C354" s="37" t="inlineStr">
        <is>
          <t>Vakıf Katılım</t>
        </is>
      </c>
      <c r="D354" t="inlineStr">
        <is>
          <t>DOLAR</t>
        </is>
      </c>
      <c r="E354" s="5" t="n">
        <v>48.0171</v>
      </c>
      <c r="F354" s="5" t="n">
        <v>48.2197</v>
      </c>
      <c r="G354" s="5">
        <f>IF(OR(E354="",F354=""),"",F354-E354)</f>
        <v/>
      </c>
      <c r="H354" s="6">
        <f>IFERROR(G354/E354,"")</f>
        <v/>
      </c>
      <c r="I354" s="44" t="inlineStr">
        <is>
          <t>DOĞRU</t>
        </is>
      </c>
      <c r="J354" s="45" t="inlineStr">
        <is>
          <t>https://kur.doviz.com/serbest-piyasa/amerikan-dolari</t>
        </is>
      </c>
      <c r="K354" s="5" t="n">
        <v>0.2026</v>
      </c>
      <c r="L354" s="6" t="n">
        <v>0.0042</v>
      </c>
      <c r="M354" s="46" t="inlineStr"/>
      <c r="N354" s="47" t="n">
        <v>0.5572569444444444</v>
      </c>
    </row>
    <row r="355">
      <c r="A355" s="2" t="n">
        <v>46262</v>
      </c>
      <c r="B355" s="3" t="n">
        <v>0.5665625</v>
      </c>
      <c r="C355" s="37" t="inlineStr">
        <is>
          <t>Vakıf Katılım</t>
        </is>
      </c>
      <c r="D355" t="inlineStr">
        <is>
          <t>DOLAR</t>
        </is>
      </c>
      <c r="E355" s="5" t="n">
        <v>48.0171</v>
      </c>
      <c r="F355" s="5" t="n">
        <v>48.2196</v>
      </c>
      <c r="G355" s="5">
        <f>IF(OR(E355="",F355=""),"",F355-E355)</f>
        <v/>
      </c>
      <c r="H355" s="6">
        <f>IFERROR(G355/E355,"")</f>
        <v/>
      </c>
      <c r="I355" s="44" t="inlineStr">
        <is>
          <t>DOĞRU</t>
        </is>
      </c>
      <c r="J355" s="45" t="inlineStr">
        <is>
          <t>https://kur.doviz.com/serbest-piyasa/amerikan-dolari</t>
        </is>
      </c>
      <c r="K355" s="5" t="n">
        <v>0.2025</v>
      </c>
      <c r="L355" s="6" t="n">
        <v>0.0042</v>
      </c>
      <c r="M355" s="46" t="inlineStr"/>
      <c r="N355" s="47" t="n">
        <v>0.5667592592592593</v>
      </c>
    </row>
    <row r="356">
      <c r="A356" s="2" t="n">
        <v>46262</v>
      </c>
      <c r="B356" s="3" t="n">
        <v>0.6021875</v>
      </c>
      <c r="C356" s="37" t="inlineStr">
        <is>
          <t>Vakıf Katılım</t>
        </is>
      </c>
      <c r="D356" t="inlineStr">
        <is>
          <t>DOLAR</t>
        </is>
      </c>
      <c r="E356" s="5" t="n">
        <v>48.0171</v>
      </c>
      <c r="F356" s="5" t="n">
        <v>48.2197</v>
      </c>
      <c r="G356" s="5">
        <f>IF(OR(E356="",F356=""),"",F356-E356)</f>
        <v/>
      </c>
      <c r="H356" s="6">
        <f>IFERROR(G356/E356,"")</f>
        <v/>
      </c>
      <c r="I356" s="44" t="inlineStr">
        <is>
          <t>DOĞRU</t>
        </is>
      </c>
      <c r="J356" s="45" t="inlineStr">
        <is>
          <t>https://kur.doviz.com/serbest-piyasa/amerikan-dolari</t>
        </is>
      </c>
      <c r="K356" s="5" t="n">
        <v>0.2026</v>
      </c>
      <c r="L356" s="6" t="n">
        <v>0.0042</v>
      </c>
      <c r="M356" s="46" t="inlineStr"/>
      <c r="N356" s="47" t="n">
        <v>0.6023379629629629</v>
      </c>
    </row>
    <row r="357">
      <c r="A357" s="2" t="n">
        <v>46262</v>
      </c>
      <c r="B357" s="3" t="n">
        <v>0.6194560185185185</v>
      </c>
      <c r="C357" s="37" t="inlineStr">
        <is>
          <t>Vakıf Katılım</t>
        </is>
      </c>
      <c r="D357" t="inlineStr">
        <is>
          <t>DOLAR</t>
        </is>
      </c>
      <c r="E357" s="5" t="n">
        <v>48.017</v>
      </c>
      <c r="F357" s="5" t="n">
        <v>48.2196</v>
      </c>
      <c r="G357" s="5">
        <f>IF(OR(E357="",F357=""),"",F357-E357)</f>
        <v/>
      </c>
      <c r="H357" s="6">
        <f>IFERROR(G357/E357,"")</f>
        <v/>
      </c>
      <c r="I357" s="44" t="inlineStr">
        <is>
          <t>DOĞRU</t>
        </is>
      </c>
      <c r="J357" s="45" t="inlineStr">
        <is>
          <t>https://kur.doviz.com/serbest-piyasa/amerikan-dolari</t>
        </is>
      </c>
      <c r="K357" s="5" t="n">
        <v>0.2026</v>
      </c>
      <c r="L357" s="6" t="n">
        <v>0.0042</v>
      </c>
      <c r="M357" s="46" t="inlineStr"/>
      <c r="N357" s="47" t="n">
        <v>0.6196180555555556</v>
      </c>
    </row>
    <row r="358">
      <c r="A358" s="2" t="n">
        <v>46262</v>
      </c>
      <c r="B358" s="3" t="n">
        <v>0.5570949074074074</v>
      </c>
      <c r="C358" s="37" t="inlineStr">
        <is>
          <t>Vakıf Katılım</t>
        </is>
      </c>
      <c r="D358" t="inlineStr">
        <is>
          <t>EURO</t>
        </is>
      </c>
      <c r="E358" s="5" t="n">
        <v>55.8879</v>
      </c>
      <c r="F358" s="5" t="n">
        <v>56.1131</v>
      </c>
      <c r="G358" s="5">
        <f>IF(OR(E358="",F358=""),"",F358-E358)</f>
        <v/>
      </c>
      <c r="H358" s="6">
        <f>IFERROR(G358/E358,"")</f>
        <v/>
      </c>
      <c r="I358" s="44" t="inlineStr">
        <is>
          <t>DOĞRU</t>
        </is>
      </c>
      <c r="J358" s="45" t="inlineStr">
        <is>
          <t>https://kur.doviz.com/serbest-piyasa/euro</t>
        </is>
      </c>
      <c r="K358" s="5" t="n">
        <v>0.2252</v>
      </c>
      <c r="L358" s="6" t="n">
        <v>0.004</v>
      </c>
      <c r="M358" s="46" t="inlineStr"/>
      <c r="N358" s="47" t="n">
        <v>0.5574074074074075</v>
      </c>
    </row>
    <row r="359">
      <c r="A359" s="2" t="n">
        <v>46262</v>
      </c>
      <c r="B359" s="3" t="n">
        <v>0.5665625</v>
      </c>
      <c r="C359" s="37" t="inlineStr">
        <is>
          <t>Vakıf Katılım</t>
        </is>
      </c>
      <c r="D359" t="inlineStr">
        <is>
          <t>EURO</t>
        </is>
      </c>
      <c r="E359" s="5" t="n">
        <v>55.9047</v>
      </c>
      <c r="F359" s="5" t="n">
        <v>56.1299</v>
      </c>
      <c r="G359" s="5">
        <f>IF(OR(E359="",F359=""),"",F359-E359)</f>
        <v/>
      </c>
      <c r="H359" s="6">
        <f>IFERROR(G359/E359,"")</f>
        <v/>
      </c>
      <c r="I359" s="44" t="inlineStr">
        <is>
          <t>DOĞRU</t>
        </is>
      </c>
      <c r="J359" s="45" t="inlineStr">
        <is>
          <t>https://kur.doviz.com/serbest-piyasa/euro</t>
        </is>
      </c>
      <c r="K359" s="5" t="n">
        <v>0.2252</v>
      </c>
      <c r="L359" s="6" t="n">
        <v>0.004</v>
      </c>
      <c r="M359" s="46" t="inlineStr"/>
      <c r="N359" s="47" t="n">
        <v>0.5669097222222222</v>
      </c>
    </row>
    <row r="360">
      <c r="A360" s="2" t="n">
        <v>46262</v>
      </c>
      <c r="B360" s="3" t="n">
        <v>0.6021875</v>
      </c>
      <c r="C360" s="37" t="inlineStr">
        <is>
          <t>Vakıf Katılım</t>
        </is>
      </c>
      <c r="D360" t="inlineStr">
        <is>
          <t>EURO</t>
        </is>
      </c>
      <c r="E360" s="5" t="n">
        <v>55.9168</v>
      </c>
      <c r="F360" s="5" t="n">
        <v>56.1421</v>
      </c>
      <c r="G360" s="5">
        <f>IF(OR(E360="",F360=""),"",F360-E360)</f>
        <v/>
      </c>
      <c r="H360" s="6">
        <f>IFERROR(G360/E360,"")</f>
        <v/>
      </c>
      <c r="I360" s="44" t="inlineStr">
        <is>
          <t>DOĞRU</t>
        </is>
      </c>
      <c r="J360" s="45" t="inlineStr">
        <is>
          <t>https://kur.doviz.com/serbest-piyasa/euro</t>
        </is>
      </c>
      <c r="K360" s="5" t="n">
        <v>0.2253</v>
      </c>
      <c r="L360" s="6" t="n">
        <v>0.004</v>
      </c>
      <c r="M360" s="46" t="inlineStr"/>
      <c r="N360" s="47" t="n">
        <v>0.6024884259259259</v>
      </c>
    </row>
    <row r="361">
      <c r="A361" s="2" t="n">
        <v>46262</v>
      </c>
      <c r="B361" s="3" t="n">
        <v>0.6194560185185185</v>
      </c>
      <c r="C361" s="37" t="inlineStr">
        <is>
          <t>Vakıf Katılım</t>
        </is>
      </c>
      <c r="D361" t="inlineStr">
        <is>
          <t>EURO</t>
        </is>
      </c>
      <c r="E361" s="5" t="n">
        <v>55.9058</v>
      </c>
      <c r="F361" s="5" t="n">
        <v>56.1311</v>
      </c>
      <c r="G361" s="5">
        <f>IF(OR(E361="",F361=""),"",F361-E361)</f>
        <v/>
      </c>
      <c r="H361" s="6">
        <f>IFERROR(G361/E361,"")</f>
        <v/>
      </c>
      <c r="I361" s="44" t="inlineStr">
        <is>
          <t>DOĞRU</t>
        </is>
      </c>
      <c r="J361" s="45" t="inlineStr">
        <is>
          <t>https://kur.doviz.com/serbest-piyasa/euro</t>
        </is>
      </c>
      <c r="K361" s="5" t="n">
        <v>0.23</v>
      </c>
      <c r="L361" s="6" t="n">
        <v>0.004</v>
      </c>
      <c r="M361" s="46" t="inlineStr"/>
      <c r="N361" s="47" t="n">
        <v>0.6196990740740741</v>
      </c>
    </row>
    <row r="362">
      <c r="A362" s="2" t="n">
        <v>46262</v>
      </c>
      <c r="B362" s="3" t="n">
        <v>0.5570949074074074</v>
      </c>
      <c r="C362" s="37" t="inlineStr">
        <is>
          <t>Vakıf Katılım</t>
        </is>
      </c>
      <c r="D362" t="inlineStr">
        <is>
          <t>GRAM_ALTIN</t>
        </is>
      </c>
      <c r="E362" s="5" t="n">
        <v>7058.1</v>
      </c>
      <c r="F362" s="5" t="n">
        <v>7114.79</v>
      </c>
      <c r="G362" s="5">
        <f>IF(OR(E362="",F362=""),"",F362-E362)</f>
        <v/>
      </c>
      <c r="H362" s="6">
        <f>IFERROR(G362/E362,"")</f>
        <v/>
      </c>
      <c r="I362" s="44" t="inlineStr">
        <is>
          <t>DOĞRU</t>
        </is>
      </c>
      <c r="J362" s="45" t="inlineStr">
        <is>
          <t>https://altin.doviz.com/gram-altin</t>
        </is>
      </c>
      <c r="K362" s="5" t="n">
        <v>56.69</v>
      </c>
      <c r="L362" s="6" t="n">
        <v>0.008</v>
      </c>
      <c r="M362" s="46" t="inlineStr"/>
      <c r="N362" s="47" t="n">
        <v>0.5575578703703704</v>
      </c>
    </row>
    <row r="363">
      <c r="A363" s="2" t="n">
        <v>46262</v>
      </c>
      <c r="B363" s="3" t="n">
        <v>0.5665625</v>
      </c>
      <c r="C363" s="37" t="inlineStr">
        <is>
          <t>Vakıf Katılım</t>
        </is>
      </c>
      <c r="D363" t="inlineStr">
        <is>
          <t>GRAM_ALTIN</t>
        </is>
      </c>
      <c r="E363" s="5" t="n">
        <v>7063.03</v>
      </c>
      <c r="F363" s="5" t="n">
        <v>7119.76</v>
      </c>
      <c r="G363" s="5">
        <f>IF(OR(E363="",F363=""),"",F363-E363)</f>
        <v/>
      </c>
      <c r="H363" s="6">
        <f>IFERROR(G363/E363,"")</f>
        <v/>
      </c>
      <c r="I363" s="44" t="inlineStr">
        <is>
          <t>DOĞRU</t>
        </is>
      </c>
      <c r="J363" s="45" t="inlineStr">
        <is>
          <t>https://altin.doviz.com/gram-altin</t>
        </is>
      </c>
      <c r="K363" s="5" t="n">
        <v>56.73</v>
      </c>
      <c r="L363" s="6" t="n">
        <v>0.008</v>
      </c>
      <c r="M363" s="46" t="inlineStr"/>
      <c r="N363" s="47" t="n">
        <v>0.5670601851851852</v>
      </c>
    </row>
    <row r="364">
      <c r="A364" s="2" t="n">
        <v>46262</v>
      </c>
      <c r="B364" s="3" t="n">
        <v>0.6021875</v>
      </c>
      <c r="C364" s="37" t="inlineStr">
        <is>
          <t>Vakıf Katılım</t>
        </is>
      </c>
      <c r="D364" t="inlineStr">
        <is>
          <t>GRAM_ALTIN</t>
        </is>
      </c>
      <c r="E364" s="5" t="n">
        <v>7053.08</v>
      </c>
      <c r="F364" s="5" t="n">
        <v>7109.73</v>
      </c>
      <c r="G364" s="5">
        <f>IF(OR(E364="",F364=""),"",F364-E364)</f>
        <v/>
      </c>
      <c r="H364" s="6">
        <f>IFERROR(G364/E364,"")</f>
        <v/>
      </c>
      <c r="I364" s="44" t="inlineStr">
        <is>
          <t>DOĞRU</t>
        </is>
      </c>
      <c r="J364" s="45" t="inlineStr">
        <is>
          <t>https://altin.doviz.com/gram-altin</t>
        </is>
      </c>
      <c r="K364" s="5" t="n">
        <v>56.65</v>
      </c>
      <c r="L364" s="6" t="n">
        <v>0.008</v>
      </c>
      <c r="M364" s="46" t="inlineStr"/>
      <c r="N364" s="47" t="n">
        <v>0.6026388888888888</v>
      </c>
    </row>
    <row r="365">
      <c r="A365" s="2" t="n">
        <v>46262</v>
      </c>
      <c r="B365" s="3" t="n">
        <v>0.6194560185185185</v>
      </c>
      <c r="C365" s="37" t="inlineStr">
        <is>
          <t>Vakıf Katılım</t>
        </is>
      </c>
      <c r="D365" t="inlineStr">
        <is>
          <t>GRAM_ALTIN</t>
        </is>
      </c>
      <c r="E365" s="5" t="n">
        <v>7045.79</v>
      </c>
      <c r="F365" s="5" t="n">
        <v>7102.39</v>
      </c>
      <c r="G365" s="5">
        <f>IF(OR(E365="",F365=""),"",F365-E365)</f>
        <v/>
      </c>
      <c r="H365" s="6">
        <f>IFERROR(G365/E365,"")</f>
        <v/>
      </c>
      <c r="I365" s="44" t="inlineStr">
        <is>
          <t>DOĞRU</t>
        </is>
      </c>
      <c r="J365" s="45" t="inlineStr">
        <is>
          <t>https://altin.doviz.com/gram-altin</t>
        </is>
      </c>
      <c r="K365" s="5" t="n">
        <v>56.59</v>
      </c>
      <c r="L365" s="6" t="n">
        <v>0.008</v>
      </c>
      <c r="M365" s="46" t="inlineStr"/>
      <c r="N365" s="47" t="n">
        <v>0.619849537037037</v>
      </c>
    </row>
    <row r="366">
      <c r="A366" s="2" t="n">
        <v>46262</v>
      </c>
      <c r="B366" s="3" t="n">
        <v>0.5570949074074074</v>
      </c>
      <c r="C366" s="38" t="inlineStr">
        <is>
          <t>Vakıfbank</t>
        </is>
      </c>
      <c r="D366" t="inlineStr">
        <is>
          <t>DOLAR</t>
        </is>
      </c>
      <c r="E366" s="5" t="n">
        <v>47.7422</v>
      </c>
      <c r="F366" s="5" t="n">
        <v>48.7032</v>
      </c>
      <c r="G366" s="5">
        <f>IF(OR(E366="",F366=""),"",F366-E366)</f>
        <v/>
      </c>
      <c r="H366" s="6">
        <f>IFERROR(G366/E366,"")</f>
        <v/>
      </c>
      <c r="I366" s="44" t="inlineStr">
        <is>
          <t>DOĞRU</t>
        </is>
      </c>
      <c r="J366" s="45" t="inlineStr">
        <is>
          <t>https://kur.doviz.com/serbest-piyasa/amerikan-dolari</t>
        </is>
      </c>
      <c r="K366" s="5" t="n">
        <v>0.961</v>
      </c>
      <c r="L366" s="6" t="n">
        <v>0.0201</v>
      </c>
      <c r="M366" s="46" t="inlineStr"/>
      <c r="N366" s="47" t="n">
        <v>0.5572569444444444</v>
      </c>
    </row>
    <row r="367">
      <c r="A367" s="2" t="n">
        <v>46262</v>
      </c>
      <c r="B367" s="3" t="n">
        <v>0.5665625</v>
      </c>
      <c r="C367" s="38" t="inlineStr">
        <is>
          <t>Vakıfbank</t>
        </is>
      </c>
      <c r="D367" t="inlineStr">
        <is>
          <t>DOLAR</t>
        </is>
      </c>
      <c r="E367" s="5" t="n">
        <v>47.7421</v>
      </c>
      <c r="F367" s="5" t="n">
        <v>48.7031</v>
      </c>
      <c r="G367" s="5">
        <f>IF(OR(E367="",F367=""),"",F367-E367)</f>
        <v/>
      </c>
      <c r="H367" s="6">
        <f>IFERROR(G367/E367,"")</f>
        <v/>
      </c>
      <c r="I367" s="44" t="inlineStr">
        <is>
          <t>DOĞRU</t>
        </is>
      </c>
      <c r="J367" s="45" t="inlineStr">
        <is>
          <t>https://kur.doviz.com/serbest-piyasa/amerikan-dolari</t>
        </is>
      </c>
      <c r="K367" s="5" t="n">
        <v>0.961</v>
      </c>
      <c r="L367" s="6" t="n">
        <v>0.0201</v>
      </c>
      <c r="M367" s="46" t="inlineStr"/>
      <c r="N367" s="47" t="n">
        <v>0.5667592592592593</v>
      </c>
    </row>
    <row r="368">
      <c r="A368" s="2" t="n">
        <v>46262</v>
      </c>
      <c r="B368" s="3" t="n">
        <v>0.6021875</v>
      </c>
      <c r="C368" s="38" t="inlineStr">
        <is>
          <t>Vakıfbank</t>
        </is>
      </c>
      <c r="D368" t="inlineStr">
        <is>
          <t>DOLAR</t>
        </is>
      </c>
      <c r="E368" s="5" t="n">
        <v>47.7422</v>
      </c>
      <c r="F368" s="5" t="n">
        <v>48.7032</v>
      </c>
      <c r="G368" s="5">
        <f>IF(OR(E368="",F368=""),"",F368-E368)</f>
        <v/>
      </c>
      <c r="H368" s="6">
        <f>IFERROR(G368/E368,"")</f>
        <v/>
      </c>
      <c r="I368" s="44" t="inlineStr">
        <is>
          <t>DOĞRU</t>
        </is>
      </c>
      <c r="J368" s="45" t="inlineStr">
        <is>
          <t>https://kur.doviz.com/serbest-piyasa/amerikan-dolari</t>
        </is>
      </c>
      <c r="K368" s="5" t="n">
        <v>0.961</v>
      </c>
      <c r="L368" s="6" t="n">
        <v>0.0201</v>
      </c>
      <c r="M368" s="46" t="inlineStr"/>
      <c r="N368" s="47" t="n">
        <v>0.6023379629629629</v>
      </c>
    </row>
    <row r="369">
      <c r="A369" s="2" t="n">
        <v>46262</v>
      </c>
      <c r="B369" s="3" t="n">
        <v>0.6194560185185185</v>
      </c>
      <c r="C369" s="38" t="inlineStr">
        <is>
          <t>Vakıfbank</t>
        </is>
      </c>
      <c r="D369" t="inlineStr">
        <is>
          <t>DOLAR</t>
        </is>
      </c>
      <c r="E369" s="5" t="n">
        <v>47.7422</v>
      </c>
      <c r="F369" s="5" t="n">
        <v>48.7032</v>
      </c>
      <c r="G369" s="5">
        <f>IF(OR(E369="",F369=""),"",F369-E369)</f>
        <v/>
      </c>
      <c r="H369" s="6">
        <f>IFERROR(G369/E369,"")</f>
        <v/>
      </c>
      <c r="I369" s="44" t="inlineStr">
        <is>
          <t>DOĞRU</t>
        </is>
      </c>
      <c r="J369" s="45" t="inlineStr">
        <is>
          <t>https://kur.doviz.com/serbest-piyasa/amerikan-dolari</t>
        </is>
      </c>
      <c r="K369" s="5" t="n">
        <v>0.961</v>
      </c>
      <c r="L369" s="6" t="n">
        <v>0.0201</v>
      </c>
      <c r="M369" s="46" t="inlineStr"/>
      <c r="N369" s="47" t="n">
        <v>0.6196180555555556</v>
      </c>
    </row>
    <row r="370">
      <c r="A370" s="2" t="n">
        <v>46262</v>
      </c>
      <c r="B370" s="3" t="n">
        <v>0.5570949074074074</v>
      </c>
      <c r="C370" s="38" t="inlineStr">
        <is>
          <t>Vakıfbank</t>
        </is>
      </c>
      <c r="D370" t="inlineStr">
        <is>
          <t>EURO</t>
        </is>
      </c>
      <c r="E370" s="5" t="n">
        <v>55.6038</v>
      </c>
      <c r="F370" s="5" t="n">
        <v>56.7169</v>
      </c>
      <c r="G370" s="5">
        <f>IF(OR(E370="",F370=""),"",F370-E370)</f>
        <v/>
      </c>
      <c r="H370" s="6">
        <f>IFERROR(G370/E370,"")</f>
        <v/>
      </c>
      <c r="I370" s="44" t="inlineStr">
        <is>
          <t>DOĞRU</t>
        </is>
      </c>
      <c r="J370" s="45" t="inlineStr">
        <is>
          <t>https://kur.doviz.com/serbest-piyasa/euro</t>
        </is>
      </c>
      <c r="K370" s="5" t="n">
        <v>1.1131</v>
      </c>
      <c r="L370" s="6" t="n">
        <v>0.02</v>
      </c>
      <c r="M370" s="46" t="inlineStr"/>
      <c r="N370" s="47" t="n">
        <v>0.5574074074074075</v>
      </c>
    </row>
    <row r="371">
      <c r="A371" s="2" t="n">
        <v>46262</v>
      </c>
      <c r="B371" s="3" t="n">
        <v>0.5665625</v>
      </c>
      <c r="C371" s="38" t="inlineStr">
        <is>
          <t>Vakıfbank</t>
        </is>
      </c>
      <c r="D371" t="inlineStr">
        <is>
          <t>EURO</t>
        </is>
      </c>
      <c r="E371" s="5" t="n">
        <v>55.6208</v>
      </c>
      <c r="F371" s="5" t="n">
        <v>56.7339</v>
      </c>
      <c r="G371" s="5">
        <f>IF(OR(E371="",F371=""),"",F371-E371)</f>
        <v/>
      </c>
      <c r="H371" s="6">
        <f>IFERROR(G371/E371,"")</f>
        <v/>
      </c>
      <c r="I371" s="44" t="inlineStr">
        <is>
          <t>DOĞRU</t>
        </is>
      </c>
      <c r="J371" s="45" t="inlineStr">
        <is>
          <t>https://kur.doviz.com/serbest-piyasa/euro</t>
        </is>
      </c>
      <c r="K371" s="5" t="n">
        <v>1.1131</v>
      </c>
      <c r="L371" s="6" t="n">
        <v>0.02</v>
      </c>
      <c r="M371" s="46" t="inlineStr"/>
      <c r="N371" s="47" t="n">
        <v>0.5669097222222222</v>
      </c>
    </row>
    <row r="372">
      <c r="A372" s="2" t="n">
        <v>46262</v>
      </c>
      <c r="B372" s="3" t="n">
        <v>0.6021875</v>
      </c>
      <c r="C372" s="38" t="inlineStr">
        <is>
          <t>Vakıfbank</t>
        </is>
      </c>
      <c r="D372" t="inlineStr">
        <is>
          <t>EURO</t>
        </is>
      </c>
      <c r="E372" s="5" t="n">
        <v>55.6302</v>
      </c>
      <c r="F372" s="5" t="n">
        <v>56.7433</v>
      </c>
      <c r="G372" s="5">
        <f>IF(OR(E372="",F372=""),"",F372-E372)</f>
        <v/>
      </c>
      <c r="H372" s="6">
        <f>IFERROR(G372/E372,"")</f>
        <v/>
      </c>
      <c r="I372" s="44" t="inlineStr">
        <is>
          <t>DOĞRU</t>
        </is>
      </c>
      <c r="J372" s="45" t="inlineStr">
        <is>
          <t>https://kur.doviz.com/serbest-piyasa/euro</t>
        </is>
      </c>
      <c r="K372" s="5" t="n">
        <v>1.1131</v>
      </c>
      <c r="L372" s="6" t="n">
        <v>0.02</v>
      </c>
      <c r="M372" s="46" t="inlineStr"/>
      <c r="N372" s="47" t="n">
        <v>0.6024884259259259</v>
      </c>
    </row>
    <row r="373">
      <c r="A373" s="2" t="n">
        <v>46262</v>
      </c>
      <c r="B373" s="3" t="n">
        <v>0.6194560185185185</v>
      </c>
      <c r="C373" s="38" t="inlineStr">
        <is>
          <t>Vakıfbank</t>
        </is>
      </c>
      <c r="D373" t="inlineStr">
        <is>
          <t>EURO</t>
        </is>
      </c>
      <c r="E373" s="5" t="n">
        <v>55.6312</v>
      </c>
      <c r="F373" s="5" t="n">
        <v>56.7443</v>
      </c>
      <c r="G373" s="5">
        <f>IF(OR(E373="",F373=""),"",F373-E373)</f>
        <v/>
      </c>
      <c r="H373" s="6">
        <f>IFERROR(G373/E373,"")</f>
        <v/>
      </c>
      <c r="I373" s="44" t="inlineStr">
        <is>
          <t>DOĞRU</t>
        </is>
      </c>
      <c r="J373" s="45" t="inlineStr">
        <is>
          <t>https://kur.doviz.com/serbest-piyasa/euro</t>
        </is>
      </c>
      <c r="K373" s="5" t="n">
        <v>1.11</v>
      </c>
      <c r="L373" s="6" t="n">
        <v>0.02</v>
      </c>
      <c r="M373" s="46" t="inlineStr"/>
      <c r="N373" s="47" t="n">
        <v>0.6196990740740741</v>
      </c>
    </row>
    <row r="374">
      <c r="A374" s="2" t="n">
        <v>46262</v>
      </c>
      <c r="B374" s="3" t="n">
        <v>0.5570949074074074</v>
      </c>
      <c r="C374" s="38" t="inlineStr">
        <is>
          <t>Vakıfbank</t>
        </is>
      </c>
      <c r="D374" t="inlineStr">
        <is>
          <t>GRAM_ALTIN</t>
        </is>
      </c>
      <c r="E374" s="5" t="n">
        <v>7041.26</v>
      </c>
      <c r="F374" s="5" t="n">
        <v>7185.86</v>
      </c>
      <c r="G374" s="5">
        <f>IF(OR(E374="",F374=""),"",F374-E374)</f>
        <v/>
      </c>
      <c r="H374" s="6">
        <f>IFERROR(G374/E374,"")</f>
        <v/>
      </c>
      <c r="I374" s="44" t="inlineStr">
        <is>
          <t>DOĞRU</t>
        </is>
      </c>
      <c r="J374" s="45" t="inlineStr">
        <is>
          <t>https://altin.doviz.com/gram-altin</t>
        </is>
      </c>
      <c r="K374" s="5" t="n">
        <v>144.6</v>
      </c>
      <c r="L374" s="6" t="n">
        <v>0.0205</v>
      </c>
      <c r="M374" s="46" t="inlineStr"/>
      <c r="N374" s="47" t="n">
        <v>0.5575578703703704</v>
      </c>
    </row>
    <row r="375">
      <c r="A375" s="2" t="n">
        <v>46262</v>
      </c>
      <c r="B375" s="3" t="n">
        <v>0.5665625</v>
      </c>
      <c r="C375" s="38" t="inlineStr">
        <is>
          <t>Vakıfbank</t>
        </is>
      </c>
      <c r="D375" t="inlineStr">
        <is>
          <t>GRAM_ALTIN</t>
        </is>
      </c>
      <c r="E375" s="5" t="n">
        <v>7044.4</v>
      </c>
      <c r="F375" s="5" t="n">
        <v>7189</v>
      </c>
      <c r="G375" s="5">
        <f>IF(OR(E375="",F375=""),"",F375-E375)</f>
        <v/>
      </c>
      <c r="H375" s="6">
        <f>IFERROR(G375/E375,"")</f>
        <v/>
      </c>
      <c r="I375" s="44" t="inlineStr">
        <is>
          <t>DOĞRU</t>
        </is>
      </c>
      <c r="J375" s="45" t="inlineStr">
        <is>
          <t>https://altin.doviz.com/gram-altin</t>
        </is>
      </c>
      <c r="K375" s="5" t="n">
        <v>144.6</v>
      </c>
      <c r="L375" s="6" t="n">
        <v>0.0205</v>
      </c>
      <c r="M375" s="46" t="inlineStr"/>
      <c r="N375" s="47" t="n">
        <v>0.5670601851851852</v>
      </c>
    </row>
    <row r="376">
      <c r="A376" s="2" t="n">
        <v>46262</v>
      </c>
      <c r="B376" s="3" t="n">
        <v>0.6021875</v>
      </c>
      <c r="C376" s="38" t="inlineStr">
        <is>
          <t>Vakıfbank</t>
        </is>
      </c>
      <c r="D376" t="inlineStr">
        <is>
          <t>GRAM_ALTIN</t>
        </is>
      </c>
      <c r="E376" s="5" t="n">
        <v>7034.29</v>
      </c>
      <c r="F376" s="5" t="n">
        <v>7178.89</v>
      </c>
      <c r="G376" s="5">
        <f>IF(OR(E376="",F376=""),"",F376-E376)</f>
        <v/>
      </c>
      <c r="H376" s="6">
        <f>IFERROR(G376/E376,"")</f>
        <v/>
      </c>
      <c r="I376" s="44" t="inlineStr">
        <is>
          <t>DOĞRU</t>
        </is>
      </c>
      <c r="J376" s="45" t="inlineStr">
        <is>
          <t>https://altin.doviz.com/gram-altin</t>
        </is>
      </c>
      <c r="K376" s="5" t="n">
        <v>144.6</v>
      </c>
      <c r="L376" s="6" t="n">
        <v>0.0206</v>
      </c>
      <c r="M376" s="46" t="inlineStr"/>
      <c r="N376" s="47" t="n">
        <v>0.6026388888888888</v>
      </c>
    </row>
    <row r="377">
      <c r="A377" s="2" t="n">
        <v>46262</v>
      </c>
      <c r="B377" s="3" t="n">
        <v>0.6194560185185185</v>
      </c>
      <c r="C377" s="38" t="inlineStr">
        <is>
          <t>Vakıfbank</t>
        </is>
      </c>
      <c r="D377" t="inlineStr">
        <is>
          <t>GRAM_ALTIN</t>
        </is>
      </c>
      <c r="E377" s="5" t="n">
        <v>7026.22</v>
      </c>
      <c r="F377" s="5" t="n">
        <v>7170.82</v>
      </c>
      <c r="G377" s="5">
        <f>IF(OR(E377="",F377=""),"",F377-E377)</f>
        <v/>
      </c>
      <c r="H377" s="6">
        <f>IFERROR(G377/E377,"")</f>
        <v/>
      </c>
      <c r="I377" s="44" t="inlineStr">
        <is>
          <t>DOĞRU</t>
        </is>
      </c>
      <c r="J377" s="45" t="inlineStr">
        <is>
          <t>https://altin.doviz.com/gram-altin</t>
        </is>
      </c>
      <c r="K377" s="5" t="n">
        <v>144.6</v>
      </c>
      <c r="L377" s="6" t="n">
        <v>0.0206</v>
      </c>
      <c r="M377" s="46" t="inlineStr"/>
      <c r="N377" s="47" t="n">
        <v>0.619849537037037</v>
      </c>
    </row>
    <row r="378">
      <c r="A378" s="2" t="n">
        <v>46262</v>
      </c>
      <c r="B378" s="3" t="n">
        <v>0.5570949074074074</v>
      </c>
      <c r="C378" s="39" t="inlineStr">
        <is>
          <t>Venüs</t>
        </is>
      </c>
      <c r="D378" t="inlineStr">
        <is>
          <t>DOLAR</t>
        </is>
      </c>
      <c r="E378" s="5" t="n">
        <v>48.042</v>
      </c>
      <c r="F378" s="5" t="n">
        <v>48.115</v>
      </c>
      <c r="G378" s="5">
        <f>IF(OR(E378="",F378=""),"",F378-E378)</f>
        <v/>
      </c>
      <c r="H378" s="6">
        <f>IFERROR(G378/E378,"")</f>
        <v/>
      </c>
      <c r="I378" s="44" t="inlineStr">
        <is>
          <t>DOĞRU</t>
        </is>
      </c>
      <c r="J378" s="45" t="inlineStr">
        <is>
          <t>https://kur.doviz.com/serbest-piyasa/amerikan-dolari</t>
        </is>
      </c>
      <c r="K378" s="5" t="n">
        <v>0.073</v>
      </c>
      <c r="L378" s="6" t="n">
        <v>0.0015</v>
      </c>
      <c r="M378" s="46" t="inlineStr"/>
      <c r="N378" s="47" t="n">
        <v>0.5572569444444444</v>
      </c>
    </row>
    <row r="379">
      <c r="A379" s="2" t="n">
        <v>46262</v>
      </c>
      <c r="B379" s="3" t="n">
        <v>0.5665625</v>
      </c>
      <c r="C379" s="39" t="inlineStr">
        <is>
          <t>Venüs</t>
        </is>
      </c>
      <c r="D379" t="inlineStr">
        <is>
          <t>DOLAR</t>
        </is>
      </c>
      <c r="E379" s="5" t="n">
        <v>48.042</v>
      </c>
      <c r="F379" s="5" t="n">
        <v>48.116</v>
      </c>
      <c r="G379" s="5">
        <f>IF(OR(E379="",F379=""),"",F379-E379)</f>
        <v/>
      </c>
      <c r="H379" s="6">
        <f>IFERROR(G379/E379,"")</f>
        <v/>
      </c>
      <c r="I379" s="44" t="inlineStr">
        <is>
          <t>DOĞRU</t>
        </is>
      </c>
      <c r="J379" s="45" t="inlineStr">
        <is>
          <t>https://kur.doviz.com/serbest-piyasa/amerikan-dolari</t>
        </is>
      </c>
      <c r="K379" s="5" t="n">
        <v>0.074</v>
      </c>
      <c r="L379" s="6" t="n">
        <v>0.0015</v>
      </c>
      <c r="M379" s="46" t="inlineStr"/>
      <c r="N379" s="47" t="n">
        <v>0.5667592592592593</v>
      </c>
    </row>
    <row r="380">
      <c r="A380" s="2" t="n">
        <v>46262</v>
      </c>
      <c r="B380" s="3" t="n">
        <v>0.6021875</v>
      </c>
      <c r="C380" s="39" t="inlineStr">
        <is>
          <t>Venüs</t>
        </is>
      </c>
      <c r="D380" t="inlineStr">
        <is>
          <t>DOLAR</t>
        </is>
      </c>
      <c r="E380" s="5" t="n">
        <v>48.069</v>
      </c>
      <c r="F380" s="5" t="n">
        <v>48.117</v>
      </c>
      <c r="G380" s="5">
        <f>IF(OR(E380="",F380=""),"",F380-E380)</f>
        <v/>
      </c>
      <c r="H380" s="6">
        <f>IFERROR(G380/E380,"")</f>
        <v/>
      </c>
      <c r="I380" s="44" t="inlineStr">
        <is>
          <t>DOĞRU</t>
        </is>
      </c>
      <c r="J380" s="45" t="inlineStr">
        <is>
          <t>https://kur.doviz.com/serbest-piyasa/amerikan-dolari</t>
        </is>
      </c>
      <c r="K380" s="5" t="n">
        <v>0.048</v>
      </c>
      <c r="L380" s="6" t="n">
        <v>0.001</v>
      </c>
      <c r="M380" s="46" t="inlineStr"/>
      <c r="N380" s="47" t="n">
        <v>0.6023379629629629</v>
      </c>
    </row>
    <row r="381">
      <c r="A381" s="2" t="n">
        <v>46262</v>
      </c>
      <c r="B381" s="3" t="n">
        <v>0.6194560185185185</v>
      </c>
      <c r="C381" s="39" t="inlineStr">
        <is>
          <t>Venüs</t>
        </is>
      </c>
      <c r="D381" t="inlineStr">
        <is>
          <t>DOLAR</t>
        </is>
      </c>
      <c r="E381" s="5" t="n">
        <v>48.075</v>
      </c>
      <c r="F381" s="5" t="n">
        <v>48.122</v>
      </c>
      <c r="G381" s="5">
        <f>IF(OR(E381="",F381=""),"",F381-E381)</f>
        <v/>
      </c>
      <c r="H381" s="6">
        <f>IFERROR(G381/E381,"")</f>
        <v/>
      </c>
      <c r="I381" s="44" t="inlineStr">
        <is>
          <t>DOĞRU</t>
        </is>
      </c>
      <c r="J381" s="45" t="inlineStr">
        <is>
          <t>https://kur.doviz.com/serbest-piyasa/amerikan-dolari</t>
        </is>
      </c>
      <c r="K381" s="5" t="n">
        <v>0.047</v>
      </c>
      <c r="L381" s="6" t="n">
        <v>0.001</v>
      </c>
      <c r="M381" s="46" t="inlineStr"/>
      <c r="N381" s="47" t="n">
        <v>0.6196180555555556</v>
      </c>
    </row>
    <row r="382">
      <c r="A382" s="2" t="n">
        <v>46262</v>
      </c>
      <c r="B382" s="3" t="n">
        <v>0.5570949074074074</v>
      </c>
      <c r="C382" s="39" t="inlineStr">
        <is>
          <t>Venüs</t>
        </is>
      </c>
      <c r="D382" t="inlineStr">
        <is>
          <t>EURO</t>
        </is>
      </c>
      <c r="E382" s="5" t="n">
        <v>55.801</v>
      </c>
      <c r="F382" s="5" t="n">
        <v>55.972</v>
      </c>
      <c r="G382" s="5">
        <f>IF(OR(E382="",F382=""),"",F382-E382)</f>
        <v/>
      </c>
      <c r="H382" s="6">
        <f>IFERROR(G382/E382,"")</f>
        <v/>
      </c>
      <c r="I382" s="44" t="inlineStr">
        <is>
          <t>DOĞRU</t>
        </is>
      </c>
      <c r="J382" s="45" t="inlineStr">
        <is>
          <t>https://kur.doviz.com/serbest-piyasa/euro</t>
        </is>
      </c>
      <c r="K382" s="5" t="n">
        <v>0.171</v>
      </c>
      <c r="L382" s="6" t="n">
        <v>0.0031</v>
      </c>
      <c r="M382" s="46" t="inlineStr"/>
      <c r="N382" s="47" t="n">
        <v>0.5574074074074075</v>
      </c>
    </row>
    <row r="383">
      <c r="A383" s="2" t="n">
        <v>46262</v>
      </c>
      <c r="B383" s="3" t="n">
        <v>0.5665625</v>
      </c>
      <c r="C383" s="39" t="inlineStr">
        <is>
          <t>Venüs</t>
        </is>
      </c>
      <c r="D383" t="inlineStr">
        <is>
          <t>EURO</t>
        </is>
      </c>
      <c r="E383" s="5" t="n">
        <v>55.825</v>
      </c>
      <c r="F383" s="5" t="n">
        <v>55.991</v>
      </c>
      <c r="G383" s="5">
        <f>IF(OR(E383="",F383=""),"",F383-E383)</f>
        <v/>
      </c>
      <c r="H383" s="6">
        <f>IFERROR(G383/E383,"")</f>
        <v/>
      </c>
      <c r="I383" s="44" t="inlineStr">
        <is>
          <t>DOĞRU</t>
        </is>
      </c>
      <c r="J383" s="45" t="inlineStr">
        <is>
          <t>https://kur.doviz.com/serbest-piyasa/euro</t>
        </is>
      </c>
      <c r="K383" s="5" t="n">
        <v>0.166</v>
      </c>
      <c r="L383" s="6" t="n">
        <v>0.003</v>
      </c>
      <c r="M383" s="46" t="inlineStr"/>
      <c r="N383" s="47" t="n">
        <v>0.5669097222222222</v>
      </c>
    </row>
    <row r="384">
      <c r="A384" s="2" t="n">
        <v>46262</v>
      </c>
      <c r="B384" s="3" t="n">
        <v>0.6021875</v>
      </c>
      <c r="C384" s="39" t="inlineStr">
        <is>
          <t>Venüs</t>
        </is>
      </c>
      <c r="D384" t="inlineStr">
        <is>
          <t>EURO</t>
        </is>
      </c>
      <c r="E384" s="5" t="n">
        <v>55.866</v>
      </c>
      <c r="F384" s="5" t="n">
        <v>56.003</v>
      </c>
      <c r="G384" s="5">
        <f>IF(OR(E384="",F384=""),"",F384-E384)</f>
        <v/>
      </c>
      <c r="H384" s="6">
        <f>IFERROR(G384/E384,"")</f>
        <v/>
      </c>
      <c r="I384" s="44" t="inlineStr">
        <is>
          <t>DOĞRU</t>
        </is>
      </c>
      <c r="J384" s="45" t="inlineStr">
        <is>
          <t>https://kur.doviz.com/serbest-piyasa/euro</t>
        </is>
      </c>
      <c r="K384" s="5" t="n">
        <v>0.137</v>
      </c>
      <c r="L384" s="6" t="n">
        <v>0.0025</v>
      </c>
      <c r="M384" s="46" t="inlineStr"/>
      <c r="N384" s="47" t="n">
        <v>0.6024884259259259</v>
      </c>
    </row>
    <row r="385">
      <c r="A385" s="2" t="n">
        <v>46262</v>
      </c>
      <c r="B385" s="3" t="n">
        <v>0.6194560185185185</v>
      </c>
      <c r="C385" s="39" t="inlineStr">
        <is>
          <t>Venüs</t>
        </is>
      </c>
      <c r="D385" t="inlineStr">
        <is>
          <t>EURO</t>
        </is>
      </c>
      <c r="E385" s="5" t="n">
        <v>55.863</v>
      </c>
      <c r="F385" s="5" t="n">
        <v>56</v>
      </c>
      <c r="G385" s="5">
        <f>IF(OR(E385="",F385=""),"",F385-E385)</f>
        <v/>
      </c>
      <c r="H385" s="6">
        <f>IFERROR(G385/E385,"")</f>
        <v/>
      </c>
      <c r="I385" s="44" t="inlineStr">
        <is>
          <t>DOĞRU</t>
        </is>
      </c>
      <c r="J385" s="45" t="inlineStr">
        <is>
          <t>https://kur.doviz.com/serbest-piyasa/euro</t>
        </is>
      </c>
      <c r="K385" s="5" t="n">
        <v>0.14</v>
      </c>
      <c r="L385" s="6" t="n">
        <v>0.0025</v>
      </c>
      <c r="M385" s="46" t="inlineStr"/>
      <c r="N385" s="47" t="n">
        <v>0.6196990740740741</v>
      </c>
    </row>
    <row r="386">
      <c r="A386" s="2" t="n">
        <v>46262</v>
      </c>
      <c r="B386" s="3" t="n">
        <v>0.5570949074074074</v>
      </c>
      <c r="C386" s="40" t="inlineStr">
        <is>
          <t>Yapıkredi</t>
        </is>
      </c>
      <c r="D386" t="inlineStr">
        <is>
          <t>DOLAR</t>
        </is>
      </c>
      <c r="E386" s="5" t="n">
        <v>47.56</v>
      </c>
      <c r="F386" s="5" t="n">
        <v>48.57</v>
      </c>
      <c r="G386" s="5">
        <f>IF(OR(E386="",F386=""),"",F386-E386)</f>
        <v/>
      </c>
      <c r="H386" s="6">
        <f>IFERROR(G386/E386,"")</f>
        <v/>
      </c>
      <c r="I386" s="44" t="inlineStr">
        <is>
          <t>DOĞRU</t>
        </is>
      </c>
      <c r="J386" s="45" t="inlineStr">
        <is>
          <t>https://kur.doviz.com/serbest-piyasa/amerikan-dolari</t>
        </is>
      </c>
      <c r="K386" s="5" t="n">
        <v>1.01</v>
      </c>
      <c r="L386" s="6" t="n">
        <v>0.0212</v>
      </c>
      <c r="M386" s="46" t="inlineStr"/>
      <c r="N386" s="47" t="n">
        <v>0.5572569444444444</v>
      </c>
    </row>
    <row r="387">
      <c r="A387" s="2" t="n">
        <v>46262</v>
      </c>
      <c r="B387" s="3" t="n">
        <v>0.5665625</v>
      </c>
      <c r="C387" s="40" t="inlineStr">
        <is>
          <t>Yapıkredi</t>
        </is>
      </c>
      <c r="D387" t="inlineStr">
        <is>
          <t>DOLAR</t>
        </is>
      </c>
      <c r="E387" s="5" t="n">
        <v>47.56</v>
      </c>
      <c r="F387" s="5" t="n">
        <v>48.57</v>
      </c>
      <c r="G387" s="5">
        <f>IF(OR(E387="",F387=""),"",F387-E387)</f>
        <v/>
      </c>
      <c r="H387" s="6">
        <f>IFERROR(G387/E387,"")</f>
        <v/>
      </c>
      <c r="I387" s="44" t="inlineStr">
        <is>
          <t>DOĞRU</t>
        </is>
      </c>
      <c r="J387" s="45" t="inlineStr">
        <is>
          <t>https://kur.doviz.com/serbest-piyasa/amerikan-dolari</t>
        </is>
      </c>
      <c r="K387" s="5" t="n">
        <v>1.01</v>
      </c>
      <c r="L387" s="6" t="n">
        <v>0.0212</v>
      </c>
      <c r="M387" s="46" t="inlineStr"/>
      <c r="N387" s="47" t="n">
        <v>0.5667592592592593</v>
      </c>
    </row>
    <row r="388">
      <c r="A388" s="2" t="n">
        <v>46262</v>
      </c>
      <c r="B388" s="3" t="n">
        <v>0.6021875</v>
      </c>
      <c r="C388" s="40" t="inlineStr">
        <is>
          <t>Yapıkredi</t>
        </is>
      </c>
      <c r="D388" t="inlineStr">
        <is>
          <t>DOLAR</t>
        </is>
      </c>
      <c r="E388" s="5" t="n">
        <v>47.56</v>
      </c>
      <c r="F388" s="5" t="n">
        <v>48.57</v>
      </c>
      <c r="G388" s="5">
        <f>IF(OR(E388="",F388=""),"",F388-E388)</f>
        <v/>
      </c>
      <c r="H388" s="6">
        <f>IFERROR(G388/E388,"")</f>
        <v/>
      </c>
      <c r="I388" s="44" t="inlineStr">
        <is>
          <t>DOĞRU</t>
        </is>
      </c>
      <c r="J388" s="45" t="inlineStr">
        <is>
          <t>https://kur.doviz.com/serbest-piyasa/amerikan-dolari</t>
        </is>
      </c>
      <c r="K388" s="5" t="n">
        <v>1.01</v>
      </c>
      <c r="L388" s="6" t="n">
        <v>0.0212</v>
      </c>
      <c r="M388" s="46" t="inlineStr"/>
      <c r="N388" s="47" t="n">
        <v>0.6023379629629629</v>
      </c>
    </row>
    <row r="389">
      <c r="A389" s="2" t="n">
        <v>46262</v>
      </c>
      <c r="B389" s="3" t="n">
        <v>0.6194560185185185</v>
      </c>
      <c r="C389" s="40" t="inlineStr">
        <is>
          <t>Yapıkredi</t>
        </is>
      </c>
      <c r="D389" t="inlineStr">
        <is>
          <t>DOLAR</t>
        </is>
      </c>
      <c r="E389" s="5" t="n">
        <v>47.56</v>
      </c>
      <c r="F389" s="5" t="n">
        <v>48.57</v>
      </c>
      <c r="G389" s="5">
        <f>IF(OR(E389="",F389=""),"",F389-E389)</f>
        <v/>
      </c>
      <c r="H389" s="6">
        <f>IFERROR(G389/E389,"")</f>
        <v/>
      </c>
      <c r="I389" s="44" t="inlineStr">
        <is>
          <t>DOĞRU</t>
        </is>
      </c>
      <c r="J389" s="45" t="inlineStr">
        <is>
          <t>https://kur.doviz.com/serbest-piyasa/amerikan-dolari</t>
        </is>
      </c>
      <c r="K389" s="5" t="n">
        <v>1.01</v>
      </c>
      <c r="L389" s="6" t="n">
        <v>0.0212</v>
      </c>
      <c r="M389" s="46" t="inlineStr"/>
      <c r="N389" s="47" t="n">
        <v>0.6196180555555556</v>
      </c>
    </row>
    <row r="390">
      <c r="A390" s="2" t="n">
        <v>46262</v>
      </c>
      <c r="B390" s="3" t="n">
        <v>0.5570949074074074</v>
      </c>
      <c r="C390" s="40" t="inlineStr">
        <is>
          <t>Yapıkredi</t>
        </is>
      </c>
      <c r="D390" t="inlineStr">
        <is>
          <t>EURO</t>
        </is>
      </c>
      <c r="E390" s="5" t="n">
        <v>55.38</v>
      </c>
      <c r="F390" s="5" t="n">
        <v>56.52</v>
      </c>
      <c r="G390" s="5">
        <f>IF(OR(E390="",F390=""),"",F390-E390)</f>
        <v/>
      </c>
      <c r="H390" s="6">
        <f>IFERROR(G390/E390,"")</f>
        <v/>
      </c>
      <c r="I390" s="44" t="inlineStr">
        <is>
          <t>DOĞRU</t>
        </is>
      </c>
      <c r="J390" s="45" t="inlineStr">
        <is>
          <t>https://kur.doviz.com/serbest-piyasa/euro</t>
        </is>
      </c>
      <c r="K390" s="5" t="n">
        <v>1.14</v>
      </c>
      <c r="L390" s="6" t="n">
        <v>0.0206</v>
      </c>
      <c r="M390" s="46" t="inlineStr"/>
      <c r="N390" s="47" t="n">
        <v>0.5574074074074075</v>
      </c>
    </row>
    <row r="391">
      <c r="A391" s="2" t="n">
        <v>46262</v>
      </c>
      <c r="B391" s="3" t="n">
        <v>0.5665625</v>
      </c>
      <c r="C391" s="40" t="inlineStr">
        <is>
          <t>Yapıkredi</t>
        </is>
      </c>
      <c r="D391" t="inlineStr">
        <is>
          <t>EURO</t>
        </is>
      </c>
      <c r="E391" s="5" t="n">
        <v>55.39</v>
      </c>
      <c r="F391" s="5" t="n">
        <v>56.53</v>
      </c>
      <c r="G391" s="5">
        <f>IF(OR(E391="",F391=""),"",F391-E391)</f>
        <v/>
      </c>
      <c r="H391" s="6">
        <f>IFERROR(G391/E391,"")</f>
        <v/>
      </c>
      <c r="I391" s="44" t="inlineStr">
        <is>
          <t>DOĞRU</t>
        </is>
      </c>
      <c r="J391" s="45" t="inlineStr">
        <is>
          <t>https://kur.doviz.com/serbest-piyasa/euro</t>
        </is>
      </c>
      <c r="K391" s="5" t="n">
        <v>1.14</v>
      </c>
      <c r="L391" s="6" t="n">
        <v>0.0206</v>
      </c>
      <c r="M391" s="46" t="inlineStr"/>
      <c r="N391" s="47" t="n">
        <v>0.5669097222222222</v>
      </c>
    </row>
    <row r="392">
      <c r="A392" s="2" t="n">
        <v>46262</v>
      </c>
      <c r="B392" s="3" t="n">
        <v>0.6021875</v>
      </c>
      <c r="C392" s="40" t="inlineStr">
        <is>
          <t>Yapıkredi</t>
        </is>
      </c>
      <c r="D392" t="inlineStr">
        <is>
          <t>EURO</t>
        </is>
      </c>
      <c r="E392" s="5" t="n">
        <v>55.4</v>
      </c>
      <c r="F392" s="5" t="n">
        <v>56.54</v>
      </c>
      <c r="G392" s="5">
        <f>IF(OR(E392="",F392=""),"",F392-E392)</f>
        <v/>
      </c>
      <c r="H392" s="6">
        <f>IFERROR(G392/E392,"")</f>
        <v/>
      </c>
      <c r="I392" s="44" t="inlineStr">
        <is>
          <t>DOĞRU</t>
        </is>
      </c>
      <c r="J392" s="45" t="inlineStr">
        <is>
          <t>https://kur.doviz.com/serbest-piyasa/euro</t>
        </is>
      </c>
      <c r="K392" s="5" t="n">
        <v>1.14</v>
      </c>
      <c r="L392" s="6" t="n">
        <v>0.0206</v>
      </c>
      <c r="M392" s="46" t="inlineStr"/>
      <c r="N392" s="47" t="n">
        <v>0.6024884259259259</v>
      </c>
    </row>
    <row r="393">
      <c r="A393" s="2" t="n">
        <v>46262</v>
      </c>
      <c r="B393" s="3" t="n">
        <v>0.6194560185185185</v>
      </c>
      <c r="C393" s="40" t="inlineStr">
        <is>
          <t>Yapıkredi</t>
        </is>
      </c>
      <c r="D393" t="inlineStr">
        <is>
          <t>EURO</t>
        </is>
      </c>
      <c r="E393" s="5" t="n">
        <v>55.39</v>
      </c>
      <c r="F393" s="5" t="n">
        <v>56.54</v>
      </c>
      <c r="G393" s="5">
        <f>IF(OR(E393="",F393=""),"",F393-E393)</f>
        <v/>
      </c>
      <c r="H393" s="6">
        <f>IFERROR(G393/E393,"")</f>
        <v/>
      </c>
      <c r="I393" s="44" t="inlineStr">
        <is>
          <t>DOĞRU</t>
        </is>
      </c>
      <c r="J393" s="45" t="inlineStr">
        <is>
          <t>https://kur.doviz.com/serbest-piyasa/euro</t>
        </is>
      </c>
      <c r="K393" s="5" t="n">
        <v>1.15</v>
      </c>
      <c r="L393" s="6" t="n">
        <v>0.0208</v>
      </c>
      <c r="M393" s="46" t="inlineStr"/>
      <c r="N393" s="47" t="n">
        <v>0.6196990740740741</v>
      </c>
    </row>
    <row r="394">
      <c r="A394" s="2" t="n">
        <v>46262</v>
      </c>
      <c r="B394" s="3" t="n">
        <v>0.5570949074074074</v>
      </c>
      <c r="C394" s="40" t="inlineStr">
        <is>
          <t>Yapıkredi</t>
        </is>
      </c>
      <c r="D394" t="inlineStr">
        <is>
          <t>GRAM_ALTIN</t>
        </is>
      </c>
      <c r="E394" s="5" t="n">
        <v>7009.19</v>
      </c>
      <c r="F394" s="5" t="n">
        <v>7215.39</v>
      </c>
      <c r="G394" s="5">
        <f>IF(OR(E394="",F394=""),"",F394-E394)</f>
        <v/>
      </c>
      <c r="H394" s="6">
        <f>IFERROR(G394/E394,"")</f>
        <v/>
      </c>
      <c r="I394" s="44" t="inlineStr">
        <is>
          <t>DOĞRU</t>
        </is>
      </c>
      <c r="J394" s="45" t="inlineStr">
        <is>
          <t>https://altin.doviz.com/gram-altin</t>
        </is>
      </c>
      <c r="K394" s="5" t="n">
        <v>206.2</v>
      </c>
      <c r="L394" s="6" t="n">
        <v>0.0294</v>
      </c>
      <c r="M394" s="46" t="inlineStr"/>
      <c r="N394" s="47" t="n">
        <v>0.5575578703703704</v>
      </c>
    </row>
    <row r="395">
      <c r="A395" s="2" t="n">
        <v>46262</v>
      </c>
      <c r="B395" s="3" t="n">
        <v>0.5665625</v>
      </c>
      <c r="C395" s="40" t="inlineStr">
        <is>
          <t>Yapıkredi</t>
        </is>
      </c>
      <c r="D395" t="inlineStr">
        <is>
          <t>GRAM_ALTIN</t>
        </is>
      </c>
      <c r="E395" s="5" t="n">
        <v>7009.9</v>
      </c>
      <c r="F395" s="5" t="n">
        <v>7216.46</v>
      </c>
      <c r="G395" s="5">
        <f>IF(OR(E395="",F395=""),"",F395-E395)</f>
        <v/>
      </c>
      <c r="H395" s="6">
        <f>IFERROR(G395/E395,"")</f>
        <v/>
      </c>
      <c r="I395" s="44" t="inlineStr">
        <is>
          <t>DOĞRU</t>
        </is>
      </c>
      <c r="J395" s="45" t="inlineStr">
        <is>
          <t>https://altin.doviz.com/gram-altin</t>
        </is>
      </c>
      <c r="K395" s="5" t="n">
        <v>206.56</v>
      </c>
      <c r="L395" s="6" t="n">
        <v>0.0295</v>
      </c>
      <c r="M395" s="46" t="inlineStr"/>
      <c r="N395" s="47" t="n">
        <v>0.5670601851851852</v>
      </c>
    </row>
    <row r="396">
      <c r="A396" s="2" t="n">
        <v>46262</v>
      </c>
      <c r="B396" s="3" t="n">
        <v>0.6021875</v>
      </c>
      <c r="C396" s="40" t="inlineStr">
        <is>
          <t>Yapıkredi</t>
        </is>
      </c>
      <c r="D396" t="inlineStr">
        <is>
          <t>GRAM_ALTIN</t>
        </is>
      </c>
      <c r="E396" s="5" t="n">
        <v>6998.36</v>
      </c>
      <c r="F396" s="5" t="n">
        <v>7205.08</v>
      </c>
      <c r="G396" s="5">
        <f>IF(OR(E396="",F396=""),"",F396-E396)</f>
        <v/>
      </c>
      <c r="H396" s="6">
        <f>IFERROR(G396/E396,"")</f>
        <v/>
      </c>
      <c r="I396" s="44" t="inlineStr">
        <is>
          <t>DOĞRU</t>
        </is>
      </c>
      <c r="J396" s="45" t="inlineStr">
        <is>
          <t>https://altin.doviz.com/gram-altin</t>
        </is>
      </c>
      <c r="K396" s="5" t="n">
        <v>206.72</v>
      </c>
      <c r="L396" s="6" t="n">
        <v>0.0295</v>
      </c>
      <c r="M396" s="46" t="inlineStr"/>
      <c r="N396" s="47" t="n">
        <v>0.6026388888888888</v>
      </c>
    </row>
    <row r="397">
      <c r="A397" s="2" t="n">
        <v>46262</v>
      </c>
      <c r="B397" s="3" t="n">
        <v>0.6194560185185185</v>
      </c>
      <c r="C397" s="40" t="inlineStr">
        <is>
          <t>Yapıkredi</t>
        </is>
      </c>
      <c r="D397" t="inlineStr">
        <is>
          <t>GRAM_ALTIN</t>
        </is>
      </c>
      <c r="E397" s="5" t="n">
        <v>6991.41</v>
      </c>
      <c r="F397" s="5" t="n">
        <v>7197.87</v>
      </c>
      <c r="G397" s="5">
        <f>IF(OR(E397="",F397=""),"",F397-E397)</f>
        <v/>
      </c>
      <c r="H397" s="6">
        <f>IFERROR(G397/E397,"")</f>
        <v/>
      </c>
      <c r="I397" s="44" t="inlineStr">
        <is>
          <t>DOĞRU</t>
        </is>
      </c>
      <c r="J397" s="45" t="inlineStr">
        <is>
          <t>https://altin.doviz.com/gram-altin</t>
        </is>
      </c>
      <c r="K397" s="5" t="n">
        <v>206.46</v>
      </c>
      <c r="L397" s="6" t="n">
        <v>0.0295</v>
      </c>
      <c r="M397" s="46" t="inlineStr"/>
      <c r="N397" s="47" t="n">
        <v>0.619849537037037</v>
      </c>
    </row>
    <row r="398">
      <c r="A398" s="2" t="n">
        <v>46262</v>
      </c>
      <c r="B398" s="3" t="n">
        <v>0.5570949074074074</v>
      </c>
      <c r="C398" s="41" t="inlineStr">
        <is>
          <t>Ziraat Bankası</t>
        </is>
      </c>
      <c r="D398" t="inlineStr">
        <is>
          <t>DOLAR</t>
        </is>
      </c>
      <c r="E398" s="5" t="n">
        <v>47.7541</v>
      </c>
      <c r="F398" s="5" t="n">
        <v>48.7201</v>
      </c>
      <c r="G398" s="5">
        <f>IF(OR(E398="",F398=""),"",F398-E398)</f>
        <v/>
      </c>
      <c r="H398" s="6">
        <f>IFERROR(G398/E398,"")</f>
        <v/>
      </c>
      <c r="I398" s="44" t="inlineStr">
        <is>
          <t>DOĞRU</t>
        </is>
      </c>
      <c r="J398" s="45" t="inlineStr">
        <is>
          <t>https://kur.doviz.com/serbest-piyasa/amerikan-dolari</t>
        </is>
      </c>
      <c r="K398" s="5" t="n">
        <v>0.966</v>
      </c>
      <c r="L398" s="6" t="n">
        <v>0.0202</v>
      </c>
      <c r="M398" s="46" t="inlineStr"/>
      <c r="N398" s="47" t="n">
        <v>0.5572569444444444</v>
      </c>
    </row>
    <row r="399">
      <c r="A399" s="2" t="n">
        <v>46262</v>
      </c>
      <c r="B399" s="3" t="n">
        <v>0.5665625</v>
      </c>
      <c r="C399" s="41" t="inlineStr">
        <is>
          <t>Ziraat Bankası</t>
        </is>
      </c>
      <c r="D399" t="inlineStr">
        <is>
          <t>DOLAR</t>
        </is>
      </c>
      <c r="E399" s="5" t="n">
        <v>47.7541</v>
      </c>
      <c r="F399" s="5" t="n">
        <v>48.7201</v>
      </c>
      <c r="G399" s="5">
        <f>IF(OR(E399="",F399=""),"",F399-E399)</f>
        <v/>
      </c>
      <c r="H399" s="6">
        <f>IFERROR(G399/E399,"")</f>
        <v/>
      </c>
      <c r="I399" s="44" t="inlineStr">
        <is>
          <t>DOĞRU</t>
        </is>
      </c>
      <c r="J399" s="45" t="inlineStr">
        <is>
          <t>https://kur.doviz.com/serbest-piyasa/amerikan-dolari</t>
        </is>
      </c>
      <c r="K399" s="5" t="n">
        <v>0.966</v>
      </c>
      <c r="L399" s="6" t="n">
        <v>0.0202</v>
      </c>
      <c r="M399" s="46" t="inlineStr"/>
      <c r="N399" s="47" t="n">
        <v>0.5667592592592593</v>
      </c>
    </row>
    <row r="400">
      <c r="A400" s="2" t="n">
        <v>46262</v>
      </c>
      <c r="B400" s="3" t="n">
        <v>0.6021875</v>
      </c>
      <c r="C400" s="41" t="inlineStr">
        <is>
          <t>Ziraat Bankası</t>
        </is>
      </c>
      <c r="D400" t="inlineStr">
        <is>
          <t>DOLAR</t>
        </is>
      </c>
      <c r="E400" s="5" t="n">
        <v>47.7539</v>
      </c>
      <c r="F400" s="5" t="n">
        <v>48.7199</v>
      </c>
      <c r="G400" s="5">
        <f>IF(OR(E400="",F400=""),"",F400-E400)</f>
        <v/>
      </c>
      <c r="H400" s="6">
        <f>IFERROR(G400/E400,"")</f>
        <v/>
      </c>
      <c r="I400" s="44" t="inlineStr">
        <is>
          <t>DOĞRU</t>
        </is>
      </c>
      <c r="J400" s="45" t="inlineStr">
        <is>
          <t>https://kur.doviz.com/serbest-piyasa/amerikan-dolari</t>
        </is>
      </c>
      <c r="K400" s="5" t="n">
        <v>0.966</v>
      </c>
      <c r="L400" s="6" t="n">
        <v>0.0202</v>
      </c>
      <c r="M400" s="46" t="inlineStr"/>
      <c r="N400" s="47" t="n">
        <v>0.6023379629629629</v>
      </c>
    </row>
    <row r="401">
      <c r="A401" s="2" t="n">
        <v>46262</v>
      </c>
      <c r="B401" s="3" t="n">
        <v>0.6194560185185185</v>
      </c>
      <c r="C401" s="41" t="inlineStr">
        <is>
          <t>Ziraat Bankası</t>
        </is>
      </c>
      <c r="D401" t="inlineStr">
        <is>
          <t>DOLAR</t>
        </is>
      </c>
      <c r="E401" s="5" t="n">
        <v>47.7539</v>
      </c>
      <c r="F401" s="5" t="n">
        <v>48.7199</v>
      </c>
      <c r="G401" s="5">
        <f>IF(OR(E401="",F401=""),"",F401-E401)</f>
        <v/>
      </c>
      <c r="H401" s="6">
        <f>IFERROR(G401/E401,"")</f>
        <v/>
      </c>
      <c r="I401" s="44" t="inlineStr">
        <is>
          <t>DOĞRU</t>
        </is>
      </c>
      <c r="J401" s="45" t="inlineStr">
        <is>
          <t>https://kur.doviz.com/serbest-piyasa/amerikan-dolari</t>
        </is>
      </c>
      <c r="K401" s="5" t="n">
        <v>0.966</v>
      </c>
      <c r="L401" s="6" t="n">
        <v>0.0202</v>
      </c>
      <c r="M401" s="46" t="inlineStr"/>
      <c r="N401" s="47" t="n">
        <v>0.6196180555555556</v>
      </c>
    </row>
    <row r="402">
      <c r="A402" s="2" t="n">
        <v>46262</v>
      </c>
      <c r="B402" s="3" t="n">
        <v>0.5570949074074074</v>
      </c>
      <c r="C402" s="41" t="inlineStr">
        <is>
          <t>Ziraat Bankası</t>
        </is>
      </c>
      <c r="D402" t="inlineStr">
        <is>
          <t>EURO</t>
        </is>
      </c>
      <c r="E402" s="5" t="n">
        <v>55.5758</v>
      </c>
      <c r="F402" s="5" t="n">
        <v>56.7001</v>
      </c>
      <c r="G402" s="5">
        <f>IF(OR(E402="",F402=""),"",F402-E402)</f>
        <v/>
      </c>
      <c r="H402" s="6">
        <f>IFERROR(G402/E402,"")</f>
        <v/>
      </c>
      <c r="I402" s="44" t="inlineStr">
        <is>
          <t>DOĞRU</t>
        </is>
      </c>
      <c r="J402" s="45" t="inlineStr">
        <is>
          <t>https://kur.doviz.com/serbest-piyasa/euro</t>
        </is>
      </c>
      <c r="K402" s="5" t="n">
        <v>1.1243</v>
      </c>
      <c r="L402" s="6" t="n">
        <v>0.0202</v>
      </c>
      <c r="M402" s="46" t="inlineStr"/>
      <c r="N402" s="47" t="n">
        <v>0.5574074074074075</v>
      </c>
    </row>
    <row r="403">
      <c r="A403" s="2" t="n">
        <v>46262</v>
      </c>
      <c r="B403" s="3" t="n">
        <v>0.5665625</v>
      </c>
      <c r="C403" s="41" t="inlineStr">
        <is>
          <t>Ziraat Bankası</t>
        </is>
      </c>
      <c r="D403" t="inlineStr">
        <is>
          <t>EURO</t>
        </is>
      </c>
      <c r="E403" s="5" t="n">
        <v>55.5785</v>
      </c>
      <c r="F403" s="5" t="n">
        <v>56.7028</v>
      </c>
      <c r="G403" s="5">
        <f>IF(OR(E403="",F403=""),"",F403-E403)</f>
        <v/>
      </c>
      <c r="H403" s="6">
        <f>IFERROR(G403/E403,"")</f>
        <v/>
      </c>
      <c r="I403" s="44" t="inlineStr">
        <is>
          <t>DOĞRU</t>
        </is>
      </c>
      <c r="J403" s="45" t="inlineStr">
        <is>
          <t>https://kur.doviz.com/serbest-piyasa/euro</t>
        </is>
      </c>
      <c r="K403" s="5" t="n">
        <v>1.1243</v>
      </c>
      <c r="L403" s="6" t="n">
        <v>0.0202</v>
      </c>
      <c r="M403" s="46" t="inlineStr"/>
      <c r="N403" s="47" t="n">
        <v>0.5669097222222222</v>
      </c>
    </row>
    <row r="404">
      <c r="A404" s="2" t="n">
        <v>46262</v>
      </c>
      <c r="B404" s="3" t="n">
        <v>0.6021875</v>
      </c>
      <c r="C404" s="41" t="inlineStr">
        <is>
          <t>Ziraat Bankası</t>
        </is>
      </c>
      <c r="D404" t="inlineStr">
        <is>
          <t>EURO</t>
        </is>
      </c>
      <c r="E404" s="5" t="n">
        <v>55.5999</v>
      </c>
      <c r="F404" s="5" t="n">
        <v>56.7247</v>
      </c>
      <c r="G404" s="5">
        <f>IF(OR(E404="",F404=""),"",F404-E404)</f>
        <v/>
      </c>
      <c r="H404" s="6">
        <f>IFERROR(G404/E404,"")</f>
        <v/>
      </c>
      <c r="I404" s="44" t="inlineStr">
        <is>
          <t>DOĞRU</t>
        </is>
      </c>
      <c r="J404" s="45" t="inlineStr">
        <is>
          <t>https://kur.doviz.com/serbest-piyasa/euro</t>
        </is>
      </c>
      <c r="K404" s="5" t="n">
        <v>1.1248</v>
      </c>
      <c r="L404" s="6" t="n">
        <v>0.0202</v>
      </c>
      <c r="M404" s="46" t="inlineStr"/>
      <c r="N404" s="47" t="n">
        <v>0.6024884259259259</v>
      </c>
    </row>
    <row r="405">
      <c r="A405" s="2" t="n">
        <v>46262</v>
      </c>
      <c r="B405" s="3" t="n">
        <v>0.6194560185185185</v>
      </c>
      <c r="C405" s="41" t="inlineStr">
        <is>
          <t>Ziraat Bankası</t>
        </is>
      </c>
      <c r="D405" t="inlineStr">
        <is>
          <t>EURO</t>
        </is>
      </c>
      <c r="E405" s="5" t="n">
        <v>55.6073</v>
      </c>
      <c r="F405" s="5" t="n">
        <v>56.7322</v>
      </c>
      <c r="G405" s="5">
        <f>IF(OR(E405="",F405=""),"",F405-E405)</f>
        <v/>
      </c>
      <c r="H405" s="6">
        <f>IFERROR(G405/E405,"")</f>
        <v/>
      </c>
      <c r="I405" s="44" t="inlineStr">
        <is>
          <t>DOĞRU</t>
        </is>
      </c>
      <c r="J405" s="45" t="inlineStr">
        <is>
          <t>https://kur.doviz.com/serbest-piyasa/euro</t>
        </is>
      </c>
      <c r="K405" s="5" t="n">
        <v>1.12</v>
      </c>
      <c r="L405" s="6" t="n">
        <v>0.0202</v>
      </c>
      <c r="M405" s="46" t="inlineStr"/>
      <c r="N405" s="47" t="n">
        <v>0.6196990740740741</v>
      </c>
    </row>
    <row r="406">
      <c r="A406" s="2" t="n">
        <v>46262</v>
      </c>
      <c r="B406" s="3" t="n">
        <v>0.5570949074074074</v>
      </c>
      <c r="C406" s="41" t="inlineStr">
        <is>
          <t>Ziraat Bankası</t>
        </is>
      </c>
      <c r="D406" t="inlineStr">
        <is>
          <t>GRAM_ALTIN</t>
        </is>
      </c>
      <c r="E406" s="5" t="n">
        <v>7078.33</v>
      </c>
      <c r="F406" s="5" t="n">
        <v>7221.25</v>
      </c>
      <c r="G406" s="5">
        <f>IF(OR(E406="",F406=""),"",F406-E406)</f>
        <v/>
      </c>
      <c r="H406" s="6">
        <f>IFERROR(G406/E406,"")</f>
        <v/>
      </c>
      <c r="I406" s="44" t="inlineStr">
        <is>
          <t>DOĞRU</t>
        </is>
      </c>
      <c r="J406" s="45" t="inlineStr">
        <is>
          <t>https://altin.doviz.com/gram-altin</t>
        </is>
      </c>
      <c r="K406" s="5" t="n">
        <v>142.92</v>
      </c>
      <c r="L406" s="6" t="n">
        <v>0.0202</v>
      </c>
      <c r="M406" s="46" t="inlineStr"/>
      <c r="N406" s="47" t="n">
        <v>0.5575578703703704</v>
      </c>
    </row>
    <row r="407">
      <c r="A407" s="2" t="n">
        <v>46262</v>
      </c>
      <c r="B407" s="3" t="n">
        <v>0.5665625</v>
      </c>
      <c r="C407" s="41" t="inlineStr">
        <is>
          <t>Ziraat Bankası</t>
        </is>
      </c>
      <c r="D407" t="inlineStr">
        <is>
          <t>GRAM_ALTIN</t>
        </is>
      </c>
      <c r="E407" s="5" t="n">
        <v>7071.22</v>
      </c>
      <c r="F407" s="5" t="n">
        <v>7214</v>
      </c>
      <c r="G407" s="5">
        <f>IF(OR(E407="",F407=""),"",F407-E407)</f>
        <v/>
      </c>
      <c r="H407" s="6">
        <f>IFERROR(G407/E407,"")</f>
        <v/>
      </c>
      <c r="I407" s="44" t="inlineStr">
        <is>
          <t>DOĞRU</t>
        </is>
      </c>
      <c r="J407" s="45" t="inlineStr">
        <is>
          <t>https://altin.doviz.com/gram-altin</t>
        </is>
      </c>
      <c r="K407" s="5" t="n">
        <v>142.78</v>
      </c>
      <c r="L407" s="6" t="n">
        <v>0.0202</v>
      </c>
      <c r="M407" s="46" t="inlineStr"/>
      <c r="N407" s="47" t="n">
        <v>0.5670601851851852</v>
      </c>
    </row>
    <row r="408">
      <c r="A408" s="2" t="n">
        <v>46262</v>
      </c>
      <c r="B408" s="3" t="n">
        <v>0.6021875</v>
      </c>
      <c r="C408" s="41" t="inlineStr">
        <is>
          <t>Ziraat Bankası</t>
        </is>
      </c>
      <c r="D408" t="inlineStr">
        <is>
          <t>GRAM_ALTIN</t>
        </is>
      </c>
      <c r="E408" s="5" t="n">
        <v>7067.26</v>
      </c>
      <c r="F408" s="5" t="n">
        <v>7209.96</v>
      </c>
      <c r="G408" s="5">
        <f>IF(OR(E408="",F408=""),"",F408-E408)</f>
        <v/>
      </c>
      <c r="H408" s="6">
        <f>IFERROR(G408/E408,"")</f>
        <v/>
      </c>
      <c r="I408" s="44" t="inlineStr">
        <is>
          <t>DOĞRU</t>
        </is>
      </c>
      <c r="J408" s="45" t="inlineStr">
        <is>
          <t>https://altin.doviz.com/gram-altin</t>
        </is>
      </c>
      <c r="K408" s="5" t="n">
        <v>142.7</v>
      </c>
      <c r="L408" s="6" t="n">
        <v>0.0202</v>
      </c>
      <c r="M408" s="46" t="inlineStr"/>
      <c r="N408" s="47" t="n">
        <v>0.6026388888888888</v>
      </c>
    </row>
    <row r="409">
      <c r="A409" s="2" t="n">
        <v>46262</v>
      </c>
      <c r="B409" s="3" t="n">
        <v>0.6194560185185185</v>
      </c>
      <c r="C409" s="41" t="inlineStr">
        <is>
          <t>Ziraat Bankası</t>
        </is>
      </c>
      <c r="D409" t="inlineStr">
        <is>
          <t>GRAM_ALTIN</t>
        </is>
      </c>
      <c r="E409" s="5" t="n">
        <v>7059.03</v>
      </c>
      <c r="F409" s="5" t="n">
        <v>7201.56</v>
      </c>
      <c r="G409" s="5">
        <f>IF(OR(E409="",F409=""),"",F409-E409)</f>
        <v/>
      </c>
      <c r="H409" s="6">
        <f>IFERROR(G409/E409,"")</f>
        <v/>
      </c>
      <c r="I409" s="44" t="inlineStr">
        <is>
          <t>DOĞRU</t>
        </is>
      </c>
      <c r="J409" s="45" t="inlineStr">
        <is>
          <t>https://altin.doviz.com/gram-altin</t>
        </is>
      </c>
      <c r="K409" s="5" t="n">
        <v>142.53</v>
      </c>
      <c r="L409" s="6" t="n">
        <v>0.0202</v>
      </c>
      <c r="M409" s="46" t="inlineStr"/>
      <c r="N409" s="47" t="n">
        <v>0.619849537037037</v>
      </c>
    </row>
    <row r="410">
      <c r="A410" s="2" t="n">
        <v>46262</v>
      </c>
      <c r="B410" s="3" t="n">
        <v>0.5570949074074074</v>
      </c>
      <c r="C410" s="42" t="inlineStr">
        <is>
          <t>Ziraat Dinamik</t>
        </is>
      </c>
      <c r="D410" t="inlineStr">
        <is>
          <t>DOLAR</t>
        </is>
      </c>
      <c r="E410" s="5" t="n">
        <v>47.8019</v>
      </c>
      <c r="F410" s="5" t="n">
        <v>48.4521</v>
      </c>
      <c r="G410" s="5">
        <f>IF(OR(E410="",F410=""),"",F410-E410)</f>
        <v/>
      </c>
      <c r="H410" s="6">
        <f>IFERROR(G410/E410,"")</f>
        <v/>
      </c>
      <c r="I410" s="44" t="inlineStr">
        <is>
          <t>DOĞRU</t>
        </is>
      </c>
      <c r="J410" s="45" t="inlineStr">
        <is>
          <t>https://kur.doviz.com/serbest-piyasa/amerikan-dolari</t>
        </is>
      </c>
      <c r="K410" s="5" t="n">
        <v>0.6502</v>
      </c>
      <c r="L410" s="6" t="n">
        <v>0.0136</v>
      </c>
      <c r="M410" s="46" t="inlineStr"/>
      <c r="N410" s="47" t="n">
        <v>0.5572569444444444</v>
      </c>
    </row>
    <row r="411">
      <c r="A411" s="2" t="n">
        <v>46262</v>
      </c>
      <c r="B411" s="3" t="n">
        <v>0.5665625</v>
      </c>
      <c r="C411" s="42" t="inlineStr">
        <is>
          <t>Ziraat Dinamik</t>
        </is>
      </c>
      <c r="D411" t="inlineStr">
        <is>
          <t>DOLAR</t>
        </is>
      </c>
      <c r="E411" s="5" t="n">
        <v>47.8017</v>
      </c>
      <c r="F411" s="5" t="n">
        <v>48.4519</v>
      </c>
      <c r="G411" s="5">
        <f>IF(OR(E411="",F411=""),"",F411-E411)</f>
        <v/>
      </c>
      <c r="H411" s="6">
        <f>IFERROR(G411/E411,"")</f>
        <v/>
      </c>
      <c r="I411" s="44" t="inlineStr">
        <is>
          <t>DOĞRU</t>
        </is>
      </c>
      <c r="J411" s="45" t="inlineStr">
        <is>
          <t>https://kur.doviz.com/serbest-piyasa/amerikan-dolari</t>
        </is>
      </c>
      <c r="K411" s="5" t="n">
        <v>0.6502</v>
      </c>
      <c r="L411" s="6" t="n">
        <v>0.0136</v>
      </c>
      <c r="M411" s="46" t="inlineStr"/>
      <c r="N411" s="47" t="n">
        <v>0.5667592592592593</v>
      </c>
    </row>
    <row r="412">
      <c r="A412" s="2" t="n">
        <v>46262</v>
      </c>
      <c r="B412" s="3" t="n">
        <v>0.6021875</v>
      </c>
      <c r="C412" s="42" t="inlineStr">
        <is>
          <t>Ziraat Dinamik</t>
        </is>
      </c>
      <c r="D412" t="inlineStr">
        <is>
          <t>DOLAR</t>
        </is>
      </c>
      <c r="E412" s="5" t="n">
        <v>47.8017</v>
      </c>
      <c r="F412" s="5" t="n">
        <v>48.4519</v>
      </c>
      <c r="G412" s="5">
        <f>IF(OR(E412="",F412=""),"",F412-E412)</f>
        <v/>
      </c>
      <c r="H412" s="6">
        <f>IFERROR(G412/E412,"")</f>
        <v/>
      </c>
      <c r="I412" s="44" t="inlineStr">
        <is>
          <t>DOĞRU</t>
        </is>
      </c>
      <c r="J412" s="45" t="inlineStr">
        <is>
          <t>https://kur.doviz.com/serbest-piyasa/amerikan-dolari</t>
        </is>
      </c>
      <c r="K412" s="5" t="n">
        <v>0.6502</v>
      </c>
      <c r="L412" s="6" t="n">
        <v>0.0136</v>
      </c>
      <c r="M412" s="46" t="inlineStr"/>
      <c r="N412" s="47" t="n">
        <v>0.6023379629629629</v>
      </c>
    </row>
    <row r="413">
      <c r="A413" s="2" t="n">
        <v>46262</v>
      </c>
      <c r="B413" s="3" t="n">
        <v>0.6194560185185185</v>
      </c>
      <c r="C413" s="42" t="inlineStr">
        <is>
          <t>Ziraat Dinamik</t>
        </is>
      </c>
      <c r="D413" t="inlineStr">
        <is>
          <t>DOLAR</t>
        </is>
      </c>
      <c r="E413" s="5" t="n">
        <v>47.8017</v>
      </c>
      <c r="F413" s="5" t="n">
        <v>48.4519</v>
      </c>
      <c r="G413" s="5">
        <f>IF(OR(E413="",F413=""),"",F413-E413)</f>
        <v/>
      </c>
      <c r="H413" s="6">
        <f>IFERROR(G413/E413,"")</f>
        <v/>
      </c>
      <c r="I413" s="44" t="inlineStr">
        <is>
          <t>DOĞRU</t>
        </is>
      </c>
      <c r="J413" s="45" t="inlineStr">
        <is>
          <t>https://kur.doviz.com/serbest-piyasa/amerikan-dolari</t>
        </is>
      </c>
      <c r="K413" s="5" t="n">
        <v>0.6502</v>
      </c>
      <c r="L413" s="6" t="n">
        <v>0.0136</v>
      </c>
      <c r="M413" s="46" t="inlineStr"/>
      <c r="N413" s="47" t="n">
        <v>0.6196180555555556</v>
      </c>
    </row>
    <row r="414">
      <c r="A414" s="2" t="n">
        <v>46262</v>
      </c>
      <c r="B414" s="3" t="n">
        <v>0.5570949074074074</v>
      </c>
      <c r="C414" s="42" t="inlineStr">
        <is>
          <t>Ziraat Dinamik</t>
        </is>
      </c>
      <c r="D414" t="inlineStr">
        <is>
          <t>EURO</t>
        </is>
      </c>
      <c r="E414" s="5" t="n">
        <v>55.5796</v>
      </c>
      <c r="F414" s="5" t="n">
        <v>56.392</v>
      </c>
      <c r="G414" s="5">
        <f>IF(OR(E414="",F414=""),"",F414-E414)</f>
        <v/>
      </c>
      <c r="H414" s="6">
        <f>IFERROR(G414/E414,"")</f>
        <v/>
      </c>
      <c r="I414" s="44" t="inlineStr">
        <is>
          <t>DOĞRU</t>
        </is>
      </c>
      <c r="J414" s="45" t="inlineStr">
        <is>
          <t>https://kur.doviz.com/serbest-piyasa/euro</t>
        </is>
      </c>
      <c r="K414" s="5" t="n">
        <v>0.8124</v>
      </c>
      <c r="L414" s="6" t="n">
        <v>0.0146</v>
      </c>
      <c r="M414" s="46" t="inlineStr"/>
      <c r="N414" s="47" t="n">
        <v>0.5574074074074075</v>
      </c>
    </row>
    <row r="415">
      <c r="A415" s="2" t="n">
        <v>46262</v>
      </c>
      <c r="B415" s="3" t="n">
        <v>0.5665625</v>
      </c>
      <c r="C415" s="42" t="inlineStr">
        <is>
          <t>Ziraat Dinamik</t>
        </is>
      </c>
      <c r="D415" t="inlineStr">
        <is>
          <t>EURO</t>
        </is>
      </c>
      <c r="E415" s="5" t="n">
        <v>55.5984</v>
      </c>
      <c r="F415" s="5" t="n">
        <v>56.4112</v>
      </c>
      <c r="G415" s="5">
        <f>IF(OR(E415="",F415=""),"",F415-E415)</f>
        <v/>
      </c>
      <c r="H415" s="6">
        <f>IFERROR(G415/E415,"")</f>
        <v/>
      </c>
      <c r="I415" s="44" t="inlineStr">
        <is>
          <t>DOĞRU</t>
        </is>
      </c>
      <c r="J415" s="45" t="inlineStr">
        <is>
          <t>https://kur.doviz.com/serbest-piyasa/euro</t>
        </is>
      </c>
      <c r="K415" s="5" t="n">
        <v>0.8128</v>
      </c>
      <c r="L415" s="6" t="n">
        <v>0.0146</v>
      </c>
      <c r="M415" s="46" t="inlineStr"/>
      <c r="N415" s="47" t="n">
        <v>0.5669097222222222</v>
      </c>
    </row>
    <row r="416">
      <c r="A416" s="2" t="n">
        <v>46262</v>
      </c>
      <c r="B416" s="3" t="n">
        <v>0.6021875</v>
      </c>
      <c r="C416" s="42" t="inlineStr">
        <is>
          <t>Ziraat Dinamik</t>
        </is>
      </c>
      <c r="D416" t="inlineStr">
        <is>
          <t>EURO</t>
        </is>
      </c>
      <c r="E416" s="5" t="n">
        <v>55.6054</v>
      </c>
      <c r="F416" s="5" t="n">
        <v>56.4183</v>
      </c>
      <c r="G416" s="5">
        <f>IF(OR(E416="",F416=""),"",F416-E416)</f>
        <v/>
      </c>
      <c r="H416" s="6">
        <f>IFERROR(G416/E416,"")</f>
        <v/>
      </c>
      <c r="I416" s="44" t="inlineStr">
        <is>
          <t>DOĞRU</t>
        </is>
      </c>
      <c r="J416" s="45" t="inlineStr">
        <is>
          <t>https://kur.doviz.com/serbest-piyasa/euro</t>
        </is>
      </c>
      <c r="K416" s="5" t="n">
        <v>0.8129</v>
      </c>
      <c r="L416" s="6" t="n">
        <v>0.0146</v>
      </c>
      <c r="M416" s="46" t="inlineStr"/>
      <c r="N416" s="47" t="n">
        <v>0.6024884259259259</v>
      </c>
    </row>
    <row r="417">
      <c r="A417" s="2" t="n">
        <v>46262</v>
      </c>
      <c r="B417" s="3" t="n">
        <v>0.6194560185185185</v>
      </c>
      <c r="C417" s="42" t="inlineStr">
        <is>
          <t>Ziraat Dinamik</t>
        </is>
      </c>
      <c r="D417" t="inlineStr">
        <is>
          <t>EURO</t>
        </is>
      </c>
      <c r="E417" s="5" t="n">
        <v>55.597</v>
      </c>
      <c r="F417" s="5" t="n">
        <v>56.4098</v>
      </c>
      <c r="G417" s="5">
        <f>IF(OR(E417="",F417=""),"",F417-E417)</f>
        <v/>
      </c>
      <c r="H417" s="6">
        <f>IFERROR(G417/E417,"")</f>
        <v/>
      </c>
      <c r="I417" s="44" t="inlineStr">
        <is>
          <t>DOĞRU</t>
        </is>
      </c>
      <c r="J417" s="45" t="inlineStr">
        <is>
          <t>https://kur.doviz.com/serbest-piyasa/euro</t>
        </is>
      </c>
      <c r="K417" s="5" t="n">
        <v>0.8100000000000001</v>
      </c>
      <c r="L417" s="6" t="n">
        <v>0.0146</v>
      </c>
      <c r="M417" s="46" t="inlineStr"/>
      <c r="N417" s="47" t="n">
        <v>0.6196990740740741</v>
      </c>
    </row>
    <row r="418">
      <c r="A418" s="2" t="n">
        <v>46262</v>
      </c>
      <c r="B418" s="3" t="n">
        <v>0.5570949074074074</v>
      </c>
      <c r="C418" s="42" t="inlineStr">
        <is>
          <t>Ziraat Dinamik</t>
        </is>
      </c>
      <c r="D418" t="inlineStr">
        <is>
          <t>GRAM_ALTIN</t>
        </is>
      </c>
      <c r="E418" s="5" t="n">
        <v>7038.97</v>
      </c>
      <c r="F418" s="5" t="n">
        <v>7181.1</v>
      </c>
      <c r="G418" s="5">
        <f>IF(OR(E418="",F418=""),"",F418-E418)</f>
        <v/>
      </c>
      <c r="H418" s="6">
        <f>IFERROR(G418/E418,"")</f>
        <v/>
      </c>
      <c r="I418" s="44" t="inlineStr">
        <is>
          <t>DOĞRU</t>
        </is>
      </c>
      <c r="J418" s="45" t="inlineStr">
        <is>
          <t>https://altin.doviz.com/gram-altin</t>
        </is>
      </c>
      <c r="K418" s="5" t="n">
        <v>142.13</v>
      </c>
      <c r="L418" s="6" t="n">
        <v>0.0202</v>
      </c>
      <c r="M418" s="46" t="inlineStr"/>
      <c r="N418" s="47" t="n">
        <v>0.5575578703703704</v>
      </c>
    </row>
    <row r="419">
      <c r="A419" s="2" t="n">
        <v>46262</v>
      </c>
      <c r="B419" s="3" t="n">
        <v>0.5665625</v>
      </c>
      <c r="C419" s="42" t="inlineStr">
        <is>
          <t>Ziraat Dinamik</t>
        </is>
      </c>
      <c r="D419" t="inlineStr">
        <is>
          <t>GRAM_ALTIN</t>
        </is>
      </c>
      <c r="E419" s="5" t="n">
        <v>7042.31</v>
      </c>
      <c r="F419" s="5" t="n">
        <v>7184.5</v>
      </c>
      <c r="G419" s="5">
        <f>IF(OR(E419="",F419=""),"",F419-E419)</f>
        <v/>
      </c>
      <c r="H419" s="6">
        <f>IFERROR(G419/E419,"")</f>
        <v/>
      </c>
      <c r="I419" s="44" t="inlineStr">
        <is>
          <t>DOĞRU</t>
        </is>
      </c>
      <c r="J419" s="45" t="inlineStr">
        <is>
          <t>https://altin.doviz.com/gram-altin</t>
        </is>
      </c>
      <c r="K419" s="5" t="n">
        <v>142.19</v>
      </c>
      <c r="L419" s="6" t="n">
        <v>0.0202</v>
      </c>
      <c r="M419" s="46" t="inlineStr"/>
      <c r="N419" s="47" t="n">
        <v>0.5670601851851852</v>
      </c>
    </row>
    <row r="420">
      <c r="A420" s="2" t="n">
        <v>46262</v>
      </c>
      <c r="B420" s="3" t="n">
        <v>0.6021875</v>
      </c>
      <c r="C420" s="42" t="inlineStr">
        <is>
          <t>Ziraat Dinamik</t>
        </is>
      </c>
      <c r="D420" t="inlineStr">
        <is>
          <t>GRAM_ALTIN</t>
        </is>
      </c>
      <c r="E420" s="5" t="n">
        <v>7031.81</v>
      </c>
      <c r="F420" s="5" t="n">
        <v>7173.79</v>
      </c>
      <c r="G420" s="5">
        <f>IF(OR(E420="",F420=""),"",F420-E420)</f>
        <v/>
      </c>
      <c r="H420" s="6">
        <f>IFERROR(G420/E420,"")</f>
        <v/>
      </c>
      <c r="I420" s="44" t="inlineStr">
        <is>
          <t>DOĞRU</t>
        </is>
      </c>
      <c r="J420" s="45" t="inlineStr">
        <is>
          <t>https://altin.doviz.com/gram-altin</t>
        </is>
      </c>
      <c r="K420" s="5" t="n">
        <v>141.98</v>
      </c>
      <c r="L420" s="6" t="n">
        <v>0.0202</v>
      </c>
      <c r="M420" s="46" t="inlineStr"/>
      <c r="N420" s="47" t="n">
        <v>0.6026388888888888</v>
      </c>
    </row>
    <row r="421">
      <c r="A421" s="2" t="n">
        <v>46262</v>
      </c>
      <c r="B421" s="3" t="n">
        <v>0.6194560185185185</v>
      </c>
      <c r="C421" s="42" t="inlineStr">
        <is>
          <t>Ziraat Dinamik</t>
        </is>
      </c>
      <c r="D421" t="inlineStr">
        <is>
          <t>GRAM_ALTIN</t>
        </is>
      </c>
      <c r="E421" s="5" t="n">
        <v>7022.61</v>
      </c>
      <c r="F421" s="5" t="n">
        <v>7164.41</v>
      </c>
      <c r="G421" s="5">
        <f>IF(OR(E421="",F421=""),"",F421-E421)</f>
        <v/>
      </c>
      <c r="H421" s="6">
        <f>IFERROR(G421/E421,"")</f>
        <v/>
      </c>
      <c r="I421" s="44" t="inlineStr">
        <is>
          <t>DOĞRU</t>
        </is>
      </c>
      <c r="J421" s="45" t="inlineStr">
        <is>
          <t>https://altin.doviz.com/gram-altin</t>
        </is>
      </c>
      <c r="K421" s="5" t="n">
        <v>141.8</v>
      </c>
      <c r="L421" s="6" t="n">
        <v>0.0202</v>
      </c>
      <c r="M421" s="46" t="inlineStr"/>
      <c r="N421" s="47" t="n">
        <v>0.619849537037037</v>
      </c>
    </row>
    <row r="422">
      <c r="A422" s="2" t="n">
        <v>46262</v>
      </c>
      <c r="B422" s="3" t="n">
        <v>0.5570949074074074</v>
      </c>
      <c r="C422" s="43" t="inlineStr">
        <is>
          <t>Ziraat Katılım</t>
        </is>
      </c>
      <c r="D422" t="inlineStr">
        <is>
          <t>DOLAR</t>
        </is>
      </c>
      <c r="E422" s="5" t="n">
        <v>47.7169</v>
      </c>
      <c r="F422" s="5" t="n">
        <v>48.7128</v>
      </c>
      <c r="G422" s="5">
        <f>IF(OR(E422="",F422=""),"",F422-E422)</f>
        <v/>
      </c>
      <c r="H422" s="6">
        <f>IFERROR(G422/E422,"")</f>
        <v/>
      </c>
      <c r="I422" s="44" t="inlineStr">
        <is>
          <t>DOĞRU</t>
        </is>
      </c>
      <c r="J422" s="45" t="inlineStr">
        <is>
          <t>https://kur.doviz.com/serbest-piyasa/amerikan-dolari</t>
        </is>
      </c>
      <c r="K422" s="5" t="n">
        <v>0.9959</v>
      </c>
      <c r="L422" s="6" t="n">
        <v>0.0209</v>
      </c>
      <c r="M422" s="46" t="inlineStr"/>
      <c r="N422" s="47" t="n">
        <v>0.5572569444444444</v>
      </c>
    </row>
    <row r="423">
      <c r="A423" s="2" t="n">
        <v>46262</v>
      </c>
      <c r="B423" s="3" t="n">
        <v>0.5665625</v>
      </c>
      <c r="C423" s="43" t="inlineStr">
        <is>
          <t>Ziraat Katılım</t>
        </is>
      </c>
      <c r="D423" t="inlineStr">
        <is>
          <t>DOLAR</t>
        </is>
      </c>
      <c r="E423" s="5" t="n">
        <v>47.7169</v>
      </c>
      <c r="F423" s="5" t="n">
        <v>48.713</v>
      </c>
      <c r="G423" s="5">
        <f>IF(OR(E423="",F423=""),"",F423-E423)</f>
        <v/>
      </c>
      <c r="H423" s="6">
        <f>IFERROR(G423/E423,"")</f>
        <v/>
      </c>
      <c r="I423" s="44" t="inlineStr">
        <is>
          <t>DOĞRU</t>
        </is>
      </c>
      <c r="J423" s="45" t="inlineStr">
        <is>
          <t>https://kur.doviz.com/serbest-piyasa/amerikan-dolari</t>
        </is>
      </c>
      <c r="K423" s="5" t="n">
        <v>0.9961</v>
      </c>
      <c r="L423" s="6" t="n">
        <v>0.0209</v>
      </c>
      <c r="M423" s="46" t="inlineStr"/>
      <c r="N423" s="47" t="n">
        <v>0.5667592592592593</v>
      </c>
    </row>
    <row r="424">
      <c r="A424" s="2" t="n">
        <v>46262</v>
      </c>
      <c r="B424" s="3" t="n">
        <v>0.6021875</v>
      </c>
      <c r="C424" s="43" t="inlineStr">
        <is>
          <t>Ziraat Katılım</t>
        </is>
      </c>
      <c r="D424" t="inlineStr">
        <is>
          <t>DOLAR</t>
        </is>
      </c>
      <c r="E424" s="5" t="n">
        <v>47.7168</v>
      </c>
      <c r="F424" s="5" t="n">
        <v>48.713</v>
      </c>
      <c r="G424" s="5">
        <f>IF(OR(E424="",F424=""),"",F424-E424)</f>
        <v/>
      </c>
      <c r="H424" s="6">
        <f>IFERROR(G424/E424,"")</f>
        <v/>
      </c>
      <c r="I424" s="44" t="inlineStr">
        <is>
          <t>DOĞRU</t>
        </is>
      </c>
      <c r="J424" s="45" t="inlineStr">
        <is>
          <t>https://kur.doviz.com/serbest-piyasa/amerikan-dolari</t>
        </is>
      </c>
      <c r="K424" s="5" t="n">
        <v>0.9962</v>
      </c>
      <c r="L424" s="6" t="n">
        <v>0.0209</v>
      </c>
      <c r="M424" s="46" t="inlineStr"/>
      <c r="N424" s="47" t="n">
        <v>0.6023379629629629</v>
      </c>
    </row>
    <row r="425">
      <c r="A425" s="2" t="n">
        <v>46262</v>
      </c>
      <c r="B425" s="3" t="n">
        <v>0.6194560185185185</v>
      </c>
      <c r="C425" s="43" t="inlineStr">
        <is>
          <t>Ziraat Katılım</t>
        </is>
      </c>
      <c r="D425" t="inlineStr">
        <is>
          <t>DOLAR</t>
        </is>
      </c>
      <c r="E425" s="5" t="n">
        <v>47.7166</v>
      </c>
      <c r="F425" s="5" t="n">
        <v>48.7128</v>
      </c>
      <c r="G425" s="5">
        <f>IF(OR(E425="",F425=""),"",F425-E425)</f>
        <v/>
      </c>
      <c r="H425" s="6">
        <f>IFERROR(G425/E425,"")</f>
        <v/>
      </c>
      <c r="I425" s="44" t="inlineStr">
        <is>
          <t>DOĞRU</t>
        </is>
      </c>
      <c r="J425" s="45" t="inlineStr">
        <is>
          <t>https://kur.doviz.com/serbest-piyasa/amerikan-dolari</t>
        </is>
      </c>
      <c r="K425" s="5" t="n">
        <v>0.9962</v>
      </c>
      <c r="L425" s="6" t="n">
        <v>0.0209</v>
      </c>
      <c r="M425" s="46" t="inlineStr"/>
      <c r="N425" s="47" t="n">
        <v>0.6196180555555556</v>
      </c>
    </row>
    <row r="426">
      <c r="A426" s="2" t="n">
        <v>46262</v>
      </c>
      <c r="B426" s="3" t="n">
        <v>0.5570949074074074</v>
      </c>
      <c r="C426" s="43" t="inlineStr">
        <is>
          <t>Ziraat Katılım</t>
        </is>
      </c>
      <c r="D426" t="inlineStr">
        <is>
          <t>EURO</t>
        </is>
      </c>
      <c r="E426" s="5" t="n">
        <v>55.5095</v>
      </c>
      <c r="F426" s="5" t="n">
        <v>56.7236</v>
      </c>
      <c r="G426" s="5">
        <f>IF(OR(E426="",F426=""),"",F426-E426)</f>
        <v/>
      </c>
      <c r="H426" s="6">
        <f>IFERROR(G426/E426,"")</f>
        <v/>
      </c>
      <c r="I426" s="44" t="inlineStr">
        <is>
          <t>DOĞRU</t>
        </is>
      </c>
      <c r="J426" s="45" t="inlineStr">
        <is>
          <t>https://kur.doviz.com/serbest-piyasa/euro</t>
        </is>
      </c>
      <c r="K426" s="5" t="n">
        <v>1.2141</v>
      </c>
      <c r="L426" s="6" t="n">
        <v>0.0219</v>
      </c>
      <c r="M426" s="46" t="inlineStr"/>
      <c r="N426" s="47" t="n">
        <v>0.5574074074074075</v>
      </c>
    </row>
    <row r="427">
      <c r="A427" s="2" t="n">
        <v>46262</v>
      </c>
      <c r="B427" s="3" t="n">
        <v>0.5665625</v>
      </c>
      <c r="C427" s="43" t="inlineStr">
        <is>
          <t>Ziraat Katılım</t>
        </is>
      </c>
      <c r="D427" t="inlineStr">
        <is>
          <t>EURO</t>
        </is>
      </c>
      <c r="E427" s="5" t="n">
        <v>55.5267</v>
      </c>
      <c r="F427" s="5" t="n">
        <v>56.7413</v>
      </c>
      <c r="G427" s="5">
        <f>IF(OR(E427="",F427=""),"",F427-E427)</f>
        <v/>
      </c>
      <c r="H427" s="6">
        <f>IFERROR(G427/E427,"")</f>
        <v/>
      </c>
      <c r="I427" s="44" t="inlineStr">
        <is>
          <t>DOĞRU</t>
        </is>
      </c>
      <c r="J427" s="45" t="inlineStr">
        <is>
          <t>https://kur.doviz.com/serbest-piyasa/euro</t>
        </is>
      </c>
      <c r="K427" s="5" t="n">
        <v>1.2146</v>
      </c>
      <c r="L427" s="6" t="n">
        <v>0.0219</v>
      </c>
      <c r="M427" s="46" t="inlineStr"/>
      <c r="N427" s="47" t="n">
        <v>0.5669097222222222</v>
      </c>
    </row>
    <row r="428">
      <c r="A428" s="2" t="n">
        <v>46262</v>
      </c>
      <c r="B428" s="3" t="n">
        <v>0.6021875</v>
      </c>
      <c r="C428" s="43" t="inlineStr">
        <is>
          <t>Ziraat Katılım</t>
        </is>
      </c>
      <c r="D428" t="inlineStr">
        <is>
          <t>EURO</t>
        </is>
      </c>
      <c r="E428" s="5" t="n">
        <v>55.5342</v>
      </c>
      <c r="F428" s="5" t="n">
        <v>56.7496</v>
      </c>
      <c r="G428" s="5">
        <f>IF(OR(E428="",F428=""),"",F428-E428)</f>
        <v/>
      </c>
      <c r="H428" s="6">
        <f>IFERROR(G428/E428,"")</f>
        <v/>
      </c>
      <c r="I428" s="44" t="inlineStr">
        <is>
          <t>DOĞRU</t>
        </is>
      </c>
      <c r="J428" s="45" t="inlineStr">
        <is>
          <t>https://kur.doviz.com/serbest-piyasa/euro</t>
        </is>
      </c>
      <c r="K428" s="5" t="n">
        <v>1.2154</v>
      </c>
      <c r="L428" s="6" t="n">
        <v>0.0219</v>
      </c>
      <c r="M428" s="46" t="inlineStr"/>
      <c r="N428" s="47" t="n">
        <v>0.6024884259259259</v>
      </c>
    </row>
    <row r="429">
      <c r="A429" s="2" t="n">
        <v>46262</v>
      </c>
      <c r="B429" s="3" t="n">
        <v>0.6194560185185185</v>
      </c>
      <c r="C429" s="43" t="inlineStr">
        <is>
          <t>Ziraat Katılım</t>
        </is>
      </c>
      <c r="D429" t="inlineStr">
        <is>
          <t>EURO</t>
        </is>
      </c>
      <c r="E429" s="5" t="n">
        <v>55.5268</v>
      </c>
      <c r="F429" s="5" t="n">
        <v>56.7421</v>
      </c>
      <c r="G429" s="5">
        <f>IF(OR(E429="",F429=""),"",F429-E429)</f>
        <v/>
      </c>
      <c r="H429" s="6">
        <f>IFERROR(G429/E429,"")</f>
        <v/>
      </c>
      <c r="I429" s="44" t="inlineStr">
        <is>
          <t>DOĞRU</t>
        </is>
      </c>
      <c r="J429" s="45" t="inlineStr">
        <is>
          <t>https://kur.doviz.com/serbest-piyasa/euro</t>
        </is>
      </c>
      <c r="K429" s="5" t="n">
        <v>1.22</v>
      </c>
      <c r="L429" s="6" t="n">
        <v>0.0219</v>
      </c>
      <c r="M429" s="46" t="inlineStr"/>
      <c r="N429" s="47" t="n">
        <v>0.6196990740740741</v>
      </c>
    </row>
    <row r="430">
      <c r="A430" s="2" t="n">
        <v>46262</v>
      </c>
      <c r="B430" s="3" t="n">
        <v>0.5570949074074074</v>
      </c>
      <c r="C430" s="43" t="inlineStr">
        <is>
          <t>Ziraat Katılım</t>
        </is>
      </c>
      <c r="D430" t="inlineStr">
        <is>
          <t>GRAM_ALTIN</t>
        </is>
      </c>
      <c r="E430" s="5" t="n">
        <v>7061.18</v>
      </c>
      <c r="F430" s="5" t="n">
        <v>7285.19</v>
      </c>
      <c r="G430" s="5">
        <f>IF(OR(E430="",F430=""),"",F430-E430)</f>
        <v/>
      </c>
      <c r="H430" s="6">
        <f>IFERROR(G430/E430,"")</f>
        <v/>
      </c>
      <c r="I430" s="44" t="inlineStr">
        <is>
          <t>DOĞRU</t>
        </is>
      </c>
      <c r="J430" s="45" t="inlineStr">
        <is>
          <t>https://altin.doviz.com/gram-altin</t>
        </is>
      </c>
      <c r="K430" s="5" t="n">
        <v>224</v>
      </c>
      <c r="L430" s="6" t="n">
        <v>0.0317</v>
      </c>
      <c r="M430" s="46" t="inlineStr"/>
      <c r="N430" s="47" t="n">
        <v>0.5575578703703704</v>
      </c>
    </row>
    <row r="431">
      <c r="A431" s="2" t="n">
        <v>46262</v>
      </c>
      <c r="B431" s="3" t="n">
        <v>0.5665625</v>
      </c>
      <c r="C431" s="43" t="inlineStr">
        <is>
          <t>Ziraat Katılım</t>
        </is>
      </c>
      <c r="D431" t="inlineStr">
        <is>
          <t>GRAM_ALTIN</t>
        </is>
      </c>
      <c r="E431" s="5" t="n">
        <v>7064.07</v>
      </c>
      <c r="F431" s="5" t="n">
        <v>7288.24</v>
      </c>
      <c r="G431" s="5">
        <f>IF(OR(E431="",F431=""),"",F431-E431)</f>
        <v/>
      </c>
      <c r="H431" s="6">
        <f>IFERROR(G431/E431,"")</f>
        <v/>
      </c>
      <c r="I431" s="44" t="inlineStr">
        <is>
          <t>DOĞRU</t>
        </is>
      </c>
      <c r="J431" s="45" t="inlineStr">
        <is>
          <t>https://altin.doviz.com/gram-altin</t>
        </is>
      </c>
      <c r="K431" s="5" t="n">
        <v>224.17</v>
      </c>
      <c r="L431" s="6" t="n">
        <v>0.0317</v>
      </c>
      <c r="M431" s="46" t="inlineStr"/>
      <c r="N431" s="47" t="n">
        <v>0.5670601851851852</v>
      </c>
    </row>
    <row r="432">
      <c r="A432" s="2" t="n">
        <v>46262</v>
      </c>
      <c r="B432" s="3" t="n">
        <v>0.6021875</v>
      </c>
      <c r="C432" s="43" t="inlineStr">
        <is>
          <t>Ziraat Katılım</t>
        </is>
      </c>
      <c r="D432" t="inlineStr">
        <is>
          <t>GRAM_ALTIN</t>
        </is>
      </c>
      <c r="E432" s="5" t="n">
        <v>7053.72</v>
      </c>
      <c r="F432" s="5" t="n">
        <v>7277.45</v>
      </c>
      <c r="G432" s="5">
        <f>IF(OR(E432="",F432=""),"",F432-E432)</f>
        <v/>
      </c>
      <c r="H432" s="6">
        <f>IFERROR(G432/E432,"")</f>
        <v/>
      </c>
      <c r="I432" s="44" t="inlineStr">
        <is>
          <t>DOĞRU</t>
        </is>
      </c>
      <c r="J432" s="45" t="inlineStr">
        <is>
          <t>https://altin.doviz.com/gram-altin</t>
        </is>
      </c>
      <c r="K432" s="5" t="n">
        <v>223.73</v>
      </c>
      <c r="L432" s="6" t="n">
        <v>0.0317</v>
      </c>
      <c r="M432" s="46" t="inlineStr"/>
      <c r="N432" s="47" t="n">
        <v>0.6026388888888888</v>
      </c>
    </row>
    <row r="433">
      <c r="A433" s="2" t="n">
        <v>46262</v>
      </c>
      <c r="B433" s="3" t="n">
        <v>0.6194560185185185</v>
      </c>
      <c r="C433" s="43" t="inlineStr">
        <is>
          <t>Ziraat Katılım</t>
        </is>
      </c>
      <c r="D433" t="inlineStr">
        <is>
          <t>GRAM_ALTIN</t>
        </is>
      </c>
      <c r="E433" s="5" t="n">
        <v>7043.89</v>
      </c>
      <c r="F433" s="5" t="n">
        <v>7267.41</v>
      </c>
      <c r="G433" s="5">
        <f>IF(OR(E433="",F433=""),"",F433-E433)</f>
        <v/>
      </c>
      <c r="H433" s="6">
        <f>IFERROR(G433/E433,"")</f>
        <v/>
      </c>
      <c r="I433" s="44" t="inlineStr">
        <is>
          <t>DOĞRU</t>
        </is>
      </c>
      <c r="J433" s="45" t="inlineStr">
        <is>
          <t>https://altin.doviz.com/gram-altin</t>
        </is>
      </c>
      <c r="K433" s="5" t="n">
        <v>223.52</v>
      </c>
      <c r="L433" s="6" t="n">
        <v>0.0317</v>
      </c>
      <c r="M433" s="46" t="inlineStr"/>
      <c r="N433" s="47" t="n">
        <v>0.619849537037037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</hyperlinks>
  <pageMargins left="0.75" right="0.75" top="1" bottom="1" header="0.5" footer="0.5"/>
  <tableParts count="1">
    <tablePart xmlns:r="http://schemas.openxmlformats.org/officeDocument/2006/relationships" r:id="rId43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24" customWidth="1" min="4" max="4"/>
    <col width="16" customWidth="1" min="5" max="5"/>
    <col width="16" customWidth="1" min="6" max="6"/>
  </cols>
  <sheetData>
    <row r="1" ht="26" customHeight="1">
      <c r="A1" s="48" t="inlineStr">
        <is>
          <t>Döviz ve Altın Kur Takip Özeti</t>
        </is>
      </c>
    </row>
    <row r="3">
      <c r="A3" s="49" t="inlineStr">
        <is>
          <t>Son Çekim Tarihi</t>
        </is>
      </c>
      <c r="B3" s="50" t="n">
        <v>46262</v>
      </c>
    </row>
    <row r="4">
      <c r="A4" s="49" t="inlineStr">
        <is>
          <t>Son Çekim Saati</t>
        </is>
      </c>
      <c r="B4" s="51" t="n">
        <v>0.6194560185185185</v>
      </c>
    </row>
    <row r="5">
      <c r="A5" s="49" t="inlineStr">
        <is>
          <t>Toplam Sağlayıcı</t>
        </is>
      </c>
      <c r="B5" s="52" t="n">
        <v>38</v>
      </c>
    </row>
    <row r="6">
      <c r="A6" s="49" t="inlineStr">
        <is>
          <t>Son Çekim Toplam Kayıt</t>
        </is>
      </c>
      <c r="B6" s="52" t="n">
        <v>108</v>
      </c>
    </row>
    <row r="7">
      <c r="A7" s="49" t="inlineStr">
        <is>
          <t>HATA</t>
        </is>
      </c>
      <c r="B7" s="52" t="n">
        <v>0</v>
      </c>
    </row>
    <row r="8">
      <c r="A8" s="49" t="inlineStr">
        <is>
          <t>KONTROL GEREKLİ</t>
        </is>
      </c>
      <c r="B8" s="52" t="n">
        <v>0</v>
      </c>
    </row>
    <row r="11">
      <c r="A11" s="1" t="inlineStr">
        <is>
          <t>Ürün</t>
        </is>
      </c>
      <c r="B11" s="1" t="inlineStr">
        <is>
          <t>Sağlayıcı Sayısı</t>
        </is>
      </c>
      <c r="C11" s="1" t="inlineStr">
        <is>
          <t>En Düşük Makas %</t>
        </is>
      </c>
      <c r="D11" s="1" t="inlineStr">
        <is>
          <t>Sağlayıcı</t>
        </is>
      </c>
      <c r="E11" s="1" t="inlineStr">
        <is>
          <t>Alış</t>
        </is>
      </c>
      <c r="F11" s="1" t="inlineStr">
        <is>
          <t>Satış</t>
        </is>
      </c>
    </row>
    <row r="12">
      <c r="A12" s="53" t="inlineStr">
        <is>
          <t>DOLAR</t>
        </is>
      </c>
      <c r="B12" s="53" t="n">
        <v>36</v>
      </c>
      <c r="C12" s="54" t="n">
        <v>0.0002079434393844874</v>
      </c>
      <c r="D12" s="53" t="inlineStr">
        <is>
          <t>Kapalıçarşı</t>
        </is>
      </c>
      <c r="E12" s="55" t="n">
        <v>48.09</v>
      </c>
      <c r="F12" s="55" t="n">
        <v>48.1</v>
      </c>
    </row>
    <row r="13">
      <c r="A13" s="53" t="inlineStr">
        <is>
          <t>EURO</t>
        </is>
      </c>
      <c r="B13" s="53" t="n">
        <v>36</v>
      </c>
      <c r="C13" s="54" t="n">
        <v>0.0008944543828264759</v>
      </c>
      <c r="D13" s="53" t="inlineStr">
        <is>
          <t>Kapalıçarşı</t>
        </is>
      </c>
      <c r="E13" s="55" t="n">
        <v>55.9</v>
      </c>
      <c r="F13" s="55" t="n">
        <v>55.95</v>
      </c>
    </row>
    <row r="14">
      <c r="A14" s="53" t="inlineStr">
        <is>
          <t>GRAM ALTIN</t>
        </is>
      </c>
      <c r="B14" s="53" t="n">
        <v>36</v>
      </c>
      <c r="C14" s="54" t="n">
        <v>0.0008912769452119329</v>
      </c>
      <c r="D14" s="53" t="inlineStr">
        <is>
          <t>Kapalıçarşı</t>
        </is>
      </c>
      <c r="E14" s="55" t="n">
        <v>7068.51</v>
      </c>
      <c r="F14" s="55" t="n">
        <v>7074.81</v>
      </c>
    </row>
    <row r="39">
      <c r="A39" s="56" t="inlineStr">
        <is>
          <t>Çekim Zamanı</t>
        </is>
      </c>
      <c r="B39" s="56" t="inlineStr">
        <is>
          <t>DOLAR</t>
        </is>
      </c>
      <c r="C39" s="56" t="inlineStr">
        <is>
          <t>EURO</t>
        </is>
      </c>
      <c r="D39" s="56" t="inlineStr">
        <is>
          <t>GRAM ALTIN</t>
        </is>
      </c>
    </row>
    <row r="40">
      <c r="A40" t="inlineStr">
        <is>
          <t>28.08 13:22</t>
        </is>
      </c>
      <c r="B40" s="57" t="n">
        <v>0.000208073241781107</v>
      </c>
      <c r="C40" s="57" t="n">
        <v>0.0008952551477170994</v>
      </c>
      <c r="D40" s="57" t="n">
        <v>0.0008905096509512647</v>
      </c>
    </row>
    <row r="41">
      <c r="A41" t="inlineStr">
        <is>
          <t>28.08 13:35</t>
        </is>
      </c>
      <c r="B41" s="57" t="n">
        <v>0.000208073241781107</v>
      </c>
      <c r="C41" s="57" t="n">
        <v>0.0008952551477170994</v>
      </c>
      <c r="D41" s="57" t="n">
        <v>0.0008905096509512647</v>
      </c>
    </row>
    <row r="42">
      <c r="A42" t="inlineStr">
        <is>
          <t>28.08 14:27</t>
        </is>
      </c>
      <c r="B42" s="57" t="n">
        <v>0.0002079866888519135</v>
      </c>
      <c r="C42" s="57" t="n">
        <v>0.0008944543828264759</v>
      </c>
      <c r="D42" s="57" t="n">
        <v>0.0008916585414105445</v>
      </c>
    </row>
    <row r="43">
      <c r="A43" t="inlineStr">
        <is>
          <t>28.08 14:52</t>
        </is>
      </c>
      <c r="B43" s="57" t="n">
        <v>0.0002079434393844874</v>
      </c>
      <c r="C43" s="57" t="n">
        <v>0.0008944543828264759</v>
      </c>
      <c r="D43" s="57" t="n">
        <v>0.0008912769452119329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2026-08-28T11:52:35Z</dcterms:created>
  <dcterms:modified xsi:type="dcterms:W3CDTF">2026-08-28T11:52:36Z</dcterms:modified>
</cp:coreProperties>
</file>