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C65911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0" applyAlignment="1" pivotButton="0" quotePrefix="0" xfId="0">
      <alignment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0" fillId="0" borderId="1" pivotButton="0" quotePrefix="0" xfId="0"/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0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'GRAFIK_VERILERI'!$B$2:$B$7</f>
            </numRef>
          </val>
          <smooth val="0"/>
        </ser>
        <ser>
          <idx val="1"/>
          <order val="1"/>
          <tx>
            <strRef>
              <f>'GRAFIK_VERILERI'!C1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'GRAFIK_VERILERI'!$C$2:$C$7</f>
            </numRef>
          </val>
          <smooth val="0"/>
        </ser>
        <ser>
          <idx val="2"/>
          <order val="2"/>
          <tx>
            <strRef>
              <f>'GRAFIK_VERILERI'!D1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'GRAFIK_VERILERI'!$D$2:$D$7</f>
            </numRef>
          </val>
          <smooth val="0"/>
        </ser>
        <ser>
          <idx val="3"/>
          <order val="3"/>
          <tx>
            <strRef>
              <f>'GRAFIK_VERILERI'!E1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'GRAFIK_VERILERI'!$E$2:$E$7</f>
            </numRef>
          </val>
          <smooth val="0"/>
        </ser>
        <ser>
          <idx val="4"/>
          <order val="4"/>
          <tx>
            <strRef>
              <f>'GRAFIK_VERILERI'!F1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'GRAFIK_VERILERI'!$F$2:$F$7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7017975595934527"/>
          <min val="0.0119034418543532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noFill/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'GRAFIK_VERILERI'!$G$2:$G$7</f>
            </numRef>
          </val>
          <smooth val="0"/>
        </ser>
        <ser>
          <idx val="1"/>
          <order val="1"/>
          <tx>
            <strRef>
              <f>'GRAFIK_VERILERI'!H1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'GRAFIK_VERILERI'!$H$2:$H$7</f>
            </numRef>
          </val>
          <smooth val="0"/>
        </ser>
        <ser>
          <idx val="2"/>
          <order val="2"/>
          <tx>
            <strRef>
              <f>'GRAFIK_VERILERI'!I1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'GRAFIK_VERILERI'!$I$2:$I$7</f>
            </numRef>
          </val>
          <smooth val="0"/>
        </ser>
        <ser>
          <idx val="3"/>
          <order val="3"/>
          <tx>
            <strRef>
              <f>'GRAFIK_VERILERI'!J1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'GRAFIK_VERILERI'!$J$2:$J$7</f>
            </numRef>
          </val>
          <smooth val="0"/>
        </ser>
        <ser>
          <idx val="4"/>
          <order val="4"/>
          <tx>
            <strRef>
              <f>'GRAFIK_VERILERI'!K1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'GRAFIK_VERILERI'!$K$2:$K$7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7017999927062174"/>
          <min val="0.011905032995583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noFill/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'GRAFIK_VERILERI'!$L$2:$L$7</f>
            </numRef>
          </val>
          <smooth val="0"/>
        </ser>
        <ser>
          <idx val="1"/>
          <order val="1"/>
          <tx>
            <strRef>
              <f>'GRAFIK_VERILERI'!M1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'GRAFIK_VERILERI'!$M$2:$M$7</f>
            </numRef>
          </val>
          <smooth val="0"/>
        </ser>
        <ser>
          <idx val="2"/>
          <order val="2"/>
          <tx>
            <strRef>
              <f>'GRAFIK_VERILERI'!N1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'GRAFIK_VERILERI'!$N$2:$N$7</f>
            </numRef>
          </val>
          <smooth val="0"/>
        </ser>
        <ser>
          <idx val="3"/>
          <order val="3"/>
          <tx>
            <strRef>
              <f>'GRAFIK_VERILERI'!O1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'GRAFIK_VERILERI'!$O$2:$O$7</f>
            </numRef>
          </val>
          <smooth val="0"/>
        </ser>
        <ser>
          <idx val="4"/>
          <order val="4"/>
          <tx>
            <strRef>
              <f>'GRAFIK_VERILERI'!P1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'GRAFIK_VERILERI'!$P$2:$P$7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1709612332154084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noFill/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'GRAFIK_VERILERI'!$U$2:$U$3</f>
            </numRef>
          </val>
          <smooth val="0"/>
        </ser>
        <ser>
          <idx val="1"/>
          <order val="1"/>
          <tx>
            <strRef>
              <f>'GRAFIK_VERILERI'!V1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'GRAFIK_VERILERI'!$V$2:$V$3</f>
            </numRef>
          </val>
          <smooth val="0"/>
        </ser>
        <ser>
          <idx val="2"/>
          <order val="2"/>
          <tx>
            <strRef>
              <f>'GRAFIK_VERILERI'!W1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'GRAFIK_VERILERI'!$W$2:$W$3</f>
            </numRef>
          </val>
          <smooth val="0"/>
        </ser>
        <ser>
          <idx val="3"/>
          <order val="3"/>
          <tx>
            <strRef>
              <f>'GRAFIK_VERILERI'!X1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'GRAFIK_VERILERI'!$X$2:$X$3</f>
            </numRef>
          </val>
          <smooth val="0"/>
        </ser>
        <ser>
          <idx val="4"/>
          <order val="4"/>
          <tx>
            <strRef>
              <f>'GRAFIK_VERILERI'!Y1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'GRAFIK_VERILERI'!$Y$2:$Y$3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5308294811856677"/>
          <min val="0.0147548581075405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noFill/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'GRAFIK_VERILERI'!$Z$2:$Z$3</f>
            </numRef>
          </val>
          <smooth val="0"/>
        </ser>
        <ser>
          <idx val="1"/>
          <order val="1"/>
          <tx>
            <strRef>
              <f>'GRAFIK_VERILERI'!AA1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'GRAFIK_VERILERI'!$AA$2:$AA$3</f>
            </numRef>
          </val>
          <smooth val="0"/>
        </ser>
        <ser>
          <idx val="2"/>
          <order val="2"/>
          <tx>
            <strRef>
              <f>'GRAFIK_VERILERI'!AB1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'GRAFIK_VERILERI'!$AB$2:$AB$3</f>
            </numRef>
          </val>
          <smooth val="0"/>
        </ser>
        <ser>
          <idx val="3"/>
          <order val="3"/>
          <tx>
            <strRef>
              <f>'GRAFIK_VERILERI'!AC1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'GRAFIK_VERILERI'!$AC$2:$AC$3</f>
            </numRef>
          </val>
          <smooth val="0"/>
        </ser>
        <ser>
          <idx val="4"/>
          <order val="4"/>
          <tx>
            <strRef>
              <f>'GRAFIK_VERILERI'!AD1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'GRAFIK_VERILERI'!$AD$2:$AD$3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5769233029926381"/>
          <min val="0.0139873389799338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noFill/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'GRAFIK_VERILERI'!$AE$2:$AE$3</f>
            </numRef>
          </val>
          <smooth val="0"/>
        </ser>
        <ser>
          <idx val="1"/>
          <order val="1"/>
          <tx>
            <strRef>
              <f>'GRAFIK_VERILERI'!AF1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'GRAFIK_VERILERI'!$AF$2:$AF$3</f>
            </numRef>
          </val>
          <smooth val="0"/>
        </ser>
        <ser>
          <idx val="2"/>
          <order val="2"/>
          <tx>
            <strRef>
              <f>'GRAFIK_VERILERI'!AG1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'GRAFIK_VERILERI'!$AG$2:$AG$3</f>
            </numRef>
          </val>
          <smooth val="0"/>
        </ser>
        <ser>
          <idx val="3"/>
          <order val="3"/>
          <tx>
            <strRef>
              <f>'GRAFIK_VERILERI'!AH1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'GRAFIK_VERILERI'!$AH$2:$AH$3</f>
            </numRef>
          </val>
          <smooth val="0"/>
        </ser>
        <ser>
          <idx val="4"/>
          <order val="4"/>
          <tx>
            <strRef>
              <f>'GRAFIK_VERILERI'!AI1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'GRAFIK_VERILERI'!$T$2:$T$3</f>
            </numRef>
          </cat>
          <val>
            <numRef>
              <f>'GRAFIK_VERILERI'!$AI$2:$AI$3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1180314046670554"/>
          <min val="0.00388536529803318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noFill/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4535890324268219"/>
          <min val="0.0256302194599744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'GRAFIK_VERILERI'!$G$2:$G$7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4536575081521625"/>
          <min val="0.0256285868695181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'GRAFIK_VERILERI'!$L$2:$L$7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7745416653140928"/>
          <min val="0.0301895959235728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'GRAFIK_VERILERI'!$C$2:$C$7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6361034633532447"/>
          <min val="0.0225554723013752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CE4E4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6393703694203891"/>
          <min val="0.022516049186640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CE4E4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'GRAFIK_VERILERI'!$M$2:$M$7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9492887751151027"/>
          <min val="0.0263437743537025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CE4E4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'GRAFIK_VERILERI'!$D$2:$D$7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'GRAFIK_VERILERI'!$I$2:$I$7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5612935000212975"/>
          <min val="0.0145106646931038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'GRAFIK_VERILERI'!$N$2:$N$7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'GRAFIK_VERILERI'!$E$2:$E$7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7017975595934527"/>
          <min val="0.0119034418543532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'GRAFIK_VERILERI'!$J$2:$J$7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7017999927062174"/>
          <min val="0.011905032995583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'GRAFIK_VERILERI'!$O$2:$O$7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1709612332154084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'GRAFIK_VERILERI'!$F$2:$F$7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6165859703981922"/>
          <min val="0.0179748989980400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'GRAFIK_VERILERI'!$K$2:$K$7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06209535841468713"/>
          <min val="0.0179124125370718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numRef>
              <f>'GRAFIK_VERILERI'!$A$2:$A$7</f>
            </numRef>
          </cat>
          <val>
            <numRef>
              <f>'GRAFIK_VERILERI'!$P$2:$P$7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  <max val="0.1462720659556508"/>
          <min val="0.00762016885605475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noFill/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048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17</row>
      <rowOff>0</rowOff>
    </from>
    <ext cx="6048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17</row>
      <rowOff>0</rowOff>
    </from>
    <ext cx="6048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37</row>
      <rowOff>0</rowOff>
    </from>
    <ext cx="6048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6</col>
      <colOff>0</colOff>
      <row>37</row>
      <rowOff>0</rowOff>
    </from>
    <ext cx="6048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37</row>
      <rowOff>0</rowOff>
    </from>
    <ext cx="6048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57</row>
      <rowOff>0</rowOff>
    </from>
    <ext cx="6048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6</col>
      <colOff>0</colOff>
      <row>57</row>
      <rowOff>0</rowOff>
    </from>
    <ext cx="6048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57</row>
      <rowOff>0</rowOff>
    </from>
    <ext cx="6048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77</row>
      <rowOff>0</rowOff>
    </from>
    <ext cx="6048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6</col>
      <colOff>0</colOff>
      <row>77</row>
      <rowOff>0</rowOff>
    </from>
    <ext cx="6048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77</row>
      <rowOff>0</rowOff>
    </from>
    <ext cx="6048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97</row>
      <rowOff>0</rowOff>
    </from>
    <ext cx="6048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6</col>
      <colOff>0</colOff>
      <row>97</row>
      <rowOff>0</rowOff>
    </from>
    <ext cx="6048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97</row>
      <rowOff>0</rowOff>
    </from>
    <ext cx="6048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117</row>
      <rowOff>0</rowOff>
    </from>
    <ext cx="6048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6</col>
      <colOff>0</colOff>
      <row>117</row>
      <rowOff>0</rowOff>
    </from>
    <ext cx="6048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117</row>
      <rowOff>0</rowOff>
    </from>
    <ext cx="6048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137</row>
      <rowOff>0</rowOff>
    </from>
    <ext cx="6048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6</col>
      <colOff>0</colOff>
      <row>137</row>
      <rowOff>0</rowOff>
    </from>
    <ext cx="6048000" cy="2951999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12</col>
      <colOff>0</colOff>
      <row>137</row>
      <rowOff>0</rowOff>
    </from>
    <ext cx="6048000" cy="2951999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5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0.4255671296296296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54.9536</v>
      </c>
      <c r="I2" s="10" t="n">
        <v>56.5203</v>
      </c>
      <c r="J2" s="10" t="n">
        <v>1.5667</v>
      </c>
      <c r="K2" s="11" t="n">
        <v>0.02850950620159553</v>
      </c>
      <c r="L2" s="12" t="n">
        <v>6541</v>
      </c>
      <c r="M2" s="12" t="n">
        <v>6777.5</v>
      </c>
      <c r="N2" s="12" t="n">
        <v>236.5</v>
      </c>
      <c r="O2" s="13" t="n">
        <v>0.03615655098608775</v>
      </c>
    </row>
    <row r="3">
      <c r="A3" s="5" t="n">
        <v>46267</v>
      </c>
      <c r="B3" s="6" t="n">
        <v>0.4255671296296296</v>
      </c>
      <c r="C3" s="14" t="inlineStr">
        <is>
          <t>Albaraka Türk</t>
        </is>
      </c>
      <c r="D3" s="8" t="n">
        <v>47.896</v>
      </c>
      <c r="E3" s="8" t="n">
        <v>48.678</v>
      </c>
      <c r="F3" s="8" t="n">
        <v>0.782</v>
      </c>
      <c r="G3" s="9" t="n">
        <v>0.01632704192416903</v>
      </c>
      <c r="H3" s="10" t="n">
        <v>55.42</v>
      </c>
      <c r="I3" s="10" t="n">
        <v>56.336</v>
      </c>
      <c r="J3" s="10" t="n">
        <v>0.916</v>
      </c>
      <c r="K3" s="11" t="n">
        <v>0.01652832912306027</v>
      </c>
      <c r="L3" s="12" t="n">
        <v>6621.42</v>
      </c>
      <c r="M3" s="12" t="n">
        <v>6757.92</v>
      </c>
      <c r="N3" s="12" t="n">
        <v>136.5</v>
      </c>
      <c r="O3" s="13" t="n">
        <v>0.02061491341736365</v>
      </c>
    </row>
    <row r="4">
      <c r="A4" s="5" t="n">
        <v>46267</v>
      </c>
      <c r="B4" s="6" t="n">
        <v>0.4255671296296296</v>
      </c>
      <c r="C4" s="15" t="inlineStr">
        <is>
          <t>Alternatif Bank</t>
        </is>
      </c>
      <c r="D4" s="8" t="n">
        <v>48.078</v>
      </c>
      <c r="E4" s="8" t="n">
        <v>48.377</v>
      </c>
      <c r="F4" s="8" t="n">
        <v>0.299</v>
      </c>
      <c r="G4" s="9" t="n">
        <v>0.006219060693040476</v>
      </c>
      <c r="H4" s="10" t="n">
        <v>55.446</v>
      </c>
      <c r="I4" s="10" t="n">
        <v>55.966</v>
      </c>
      <c r="J4" s="10" t="n">
        <v>0.52</v>
      </c>
      <c r="K4" s="11" t="n">
        <v>0.009378494390938932</v>
      </c>
      <c r="L4" s="12" t="n">
        <v>6676.2</v>
      </c>
      <c r="M4" s="12" t="n">
        <v>6744.35</v>
      </c>
      <c r="N4" s="12" t="n">
        <v>68.15000000000001</v>
      </c>
      <c r="O4" s="13" t="n">
        <v>0.01020790269914023</v>
      </c>
    </row>
    <row r="5">
      <c r="A5" s="5" t="n">
        <v>46267</v>
      </c>
      <c r="B5" s="6" t="n">
        <v>0.4255671296296296</v>
      </c>
      <c r="C5" s="16" t="inlineStr">
        <is>
          <t>Altınkaynak</t>
        </is>
      </c>
      <c r="D5" s="8" t="n">
        <v>48.121</v>
      </c>
      <c r="E5" s="8" t="n">
        <v>48.351</v>
      </c>
      <c r="F5" s="8" t="n">
        <v>0.23</v>
      </c>
      <c r="G5" s="9" t="n">
        <v>0.004779618046175266</v>
      </c>
      <c r="H5" s="10" t="n">
        <v>55.577</v>
      </c>
      <c r="I5" s="10" t="n">
        <v>55.955</v>
      </c>
      <c r="J5" s="10" t="n">
        <v>0.378</v>
      </c>
      <c r="K5" s="11" t="n">
        <v>0.00680137466937762</v>
      </c>
      <c r="L5" s="12" t="n">
        <v>6593.74</v>
      </c>
      <c r="M5" s="12" t="n">
        <v>6790</v>
      </c>
      <c r="N5" s="12" t="n">
        <v>196.26</v>
      </c>
      <c r="O5" s="13" t="n">
        <v>0.02976459490365104</v>
      </c>
    </row>
    <row r="6">
      <c r="A6" s="5" t="n">
        <v>46267</v>
      </c>
      <c r="B6" s="6" t="n">
        <v>0.4255671296296296</v>
      </c>
      <c r="C6" s="17" t="inlineStr">
        <is>
          <t>Anadolubank</t>
        </is>
      </c>
      <c r="D6" s="8" t="n">
        <v>47.4522</v>
      </c>
      <c r="E6" s="8" t="n">
        <v>48.7286</v>
      </c>
      <c r="F6" s="8" t="n">
        <v>1.2764</v>
      </c>
      <c r="G6" s="9" t="n">
        <v>0.02689864748104408</v>
      </c>
      <c r="H6" s="10" t="n">
        <v>55.0116</v>
      </c>
      <c r="I6" s="10" t="n">
        <v>56.3766</v>
      </c>
      <c r="J6" s="10" t="n">
        <v>1.365</v>
      </c>
      <c r="K6" s="11" t="n">
        <v>0.0248129485417621</v>
      </c>
      <c r="L6" s="12" t="n">
        <v>6605.19</v>
      </c>
      <c r="M6" s="12" t="n">
        <v>6756.28</v>
      </c>
      <c r="N6" s="12" t="n">
        <v>151.09</v>
      </c>
      <c r="O6" s="13" t="n">
        <v>0.02287443661726612</v>
      </c>
    </row>
    <row r="7">
      <c r="A7" s="5" t="n">
        <v>46267</v>
      </c>
      <c r="B7" s="6" t="n">
        <v>0.4255671296296296</v>
      </c>
      <c r="C7" s="18" t="inlineStr">
        <is>
          <t>CEPTETEB</t>
        </is>
      </c>
      <c r="D7" s="8" t="n">
        <v>47.302</v>
      </c>
      <c r="E7" s="8" t="n">
        <v>49.224</v>
      </c>
      <c r="F7" s="8" t="n">
        <v>1.922</v>
      </c>
      <c r="G7" s="9" t="n">
        <v>0.04063253139402139</v>
      </c>
      <c r="H7" s="10" t="n">
        <v>54.733</v>
      </c>
      <c r="I7" s="10" t="n">
        <v>56.967</v>
      </c>
      <c r="J7" s="10" t="n">
        <v>2.234</v>
      </c>
      <c r="K7" s="11" t="n">
        <v>0.04081632653061225</v>
      </c>
      <c r="L7" s="12" t="n">
        <v>6602.94</v>
      </c>
      <c r="M7" s="12" t="n">
        <v>6797.45</v>
      </c>
      <c r="N7" s="12" t="n">
        <v>194.51</v>
      </c>
      <c r="O7" s="13" t="n">
        <v>0.02945808988117414</v>
      </c>
    </row>
    <row r="8">
      <c r="A8" s="5" t="n">
        <v>46267</v>
      </c>
      <c r="B8" s="6" t="n">
        <v>0.4255671296296296</v>
      </c>
      <c r="C8" s="19" t="inlineStr">
        <is>
          <t>Denizbank</t>
        </is>
      </c>
      <c r="D8" s="8" t="n">
        <v>47.5543</v>
      </c>
      <c r="E8" s="8" t="n">
        <v>48.9544</v>
      </c>
      <c r="F8" s="8" t="n">
        <v>1.4001</v>
      </c>
      <c r="G8" s="9" t="n">
        <v>0.02944213246751608</v>
      </c>
      <c r="H8" s="10" t="n">
        <v>55.0294</v>
      </c>
      <c r="I8" s="10" t="n">
        <v>56.6496</v>
      </c>
      <c r="J8" s="10" t="n">
        <v>1.6202</v>
      </c>
      <c r="K8" s="11" t="n">
        <v>0.02944244349384147</v>
      </c>
      <c r="L8" s="12" t="n">
        <v>6620.33</v>
      </c>
      <c r="M8" s="12" t="n">
        <v>6816.27</v>
      </c>
      <c r="N8" s="12" t="n">
        <v>195.94</v>
      </c>
      <c r="O8" s="13" t="n">
        <v>0.02959671194638334</v>
      </c>
    </row>
    <row r="9">
      <c r="A9" s="5" t="n">
        <v>46267</v>
      </c>
      <c r="B9" s="6" t="n">
        <v>0.4255671296296296</v>
      </c>
      <c r="C9" s="20" t="inlineStr">
        <is>
          <t>DestekBank</t>
        </is>
      </c>
      <c r="D9" s="8" t="n">
        <v>48.2238</v>
      </c>
      <c r="E9" s="8" t="n">
        <v>48.2807</v>
      </c>
      <c r="F9" s="8" t="n">
        <v>0.0569</v>
      </c>
      <c r="G9" s="9" t="n">
        <v>0.001179915311526674</v>
      </c>
      <c r="H9" s="10" t="n">
        <v>55.7935</v>
      </c>
      <c r="I9" s="10" t="n">
        <v>55.8766</v>
      </c>
      <c r="J9" s="10" t="n">
        <v>0.08309999999999999</v>
      </c>
      <c r="K9" s="11" t="n">
        <v>0.001489420810667909</v>
      </c>
      <c r="L9" s="12" t="n">
        <v>6672.37</v>
      </c>
      <c r="M9" s="12" t="n">
        <v>6701.25</v>
      </c>
      <c r="N9" s="12" t="n">
        <v>28.88</v>
      </c>
      <c r="O9" s="13" t="n">
        <v>0.004328297141795195</v>
      </c>
    </row>
    <row r="10">
      <c r="A10" s="5" t="n">
        <v>46267</v>
      </c>
      <c r="B10" s="6" t="n">
        <v>0.4255671296296296</v>
      </c>
      <c r="C10" s="21" t="inlineStr">
        <is>
          <t>Dünya Katılım</t>
        </is>
      </c>
      <c r="D10" s="8" t="n">
        <v>48.2372</v>
      </c>
      <c r="E10" s="8" t="n">
        <v>48.2753</v>
      </c>
      <c r="F10" s="8" t="n">
        <v>0.0381</v>
      </c>
      <c r="G10" s="9" t="n">
        <v>0.0007898468401980215</v>
      </c>
      <c r="H10" s="10" t="n">
        <v>55.7708</v>
      </c>
      <c r="I10" s="10" t="n">
        <v>55.8845</v>
      </c>
      <c r="J10" s="10" t="n">
        <v>0.1137</v>
      </c>
      <c r="K10" s="11" t="n">
        <v>0.002038701255854318</v>
      </c>
      <c r="L10" s="12" t="n">
        <v>6668.78</v>
      </c>
      <c r="M10" s="12" t="n">
        <v>6700.67</v>
      </c>
      <c r="N10" s="12" t="n">
        <v>31.89</v>
      </c>
      <c r="O10" s="13" t="n">
        <v>0.004781984111036801</v>
      </c>
    </row>
    <row r="11">
      <c r="A11" s="5" t="n">
        <v>46267</v>
      </c>
      <c r="B11" s="6" t="n">
        <v>0.4255671296296296</v>
      </c>
      <c r="C11" s="22" t="inlineStr">
        <is>
          <t>Emlak Katılım</t>
        </is>
      </c>
      <c r="D11" s="8" t="n">
        <v>47.9236</v>
      </c>
      <c r="E11" s="8" t="n">
        <v>49.1613</v>
      </c>
      <c r="F11" s="8" t="n">
        <v>1.2377</v>
      </c>
      <c r="G11" s="9" t="n">
        <v>0.02582652388384846</v>
      </c>
      <c r="H11" s="10" t="n">
        <v>55.3446</v>
      </c>
      <c r="I11" s="10" t="n">
        <v>56.6222</v>
      </c>
      <c r="J11" s="10" t="n">
        <v>1.2776</v>
      </c>
      <c r="K11" s="11" t="n">
        <v>0.02308445629745269</v>
      </c>
      <c r="L11" s="12" t="n">
        <v>6616.79</v>
      </c>
      <c r="M11" s="12" t="n">
        <v>6725.39</v>
      </c>
      <c r="N11" s="12" t="n">
        <v>108.6</v>
      </c>
      <c r="O11" s="13" t="n">
        <v>0.0164127923056346</v>
      </c>
    </row>
    <row r="12">
      <c r="A12" s="5" t="n">
        <v>46267</v>
      </c>
      <c r="B12" s="6" t="n">
        <v>0.4255671296296296</v>
      </c>
      <c r="C12" s="23" t="inlineStr">
        <is>
          <t>Enpara</t>
        </is>
      </c>
      <c r="D12" s="8" t="n">
        <v>47.847</v>
      </c>
      <c r="E12" s="8" t="n">
        <v>48.697</v>
      </c>
      <c r="F12" s="8" t="n">
        <v>0.85</v>
      </c>
      <c r="G12" s="9" t="n">
        <v>0.01776495914059398</v>
      </c>
      <c r="H12" s="10" t="n">
        <v>55.2855</v>
      </c>
      <c r="I12" s="10" t="n">
        <v>56.4416</v>
      </c>
      <c r="J12" s="10" t="n">
        <v>1.1561</v>
      </c>
      <c r="K12" s="11" t="n">
        <v>0.02091145056117789</v>
      </c>
      <c r="L12" s="12" t="n">
        <v>6616.18</v>
      </c>
      <c r="M12" s="12" t="n">
        <v>6771.27</v>
      </c>
      <c r="N12" s="12" t="n">
        <v>155.09</v>
      </c>
      <c r="O12" s="13" t="n">
        <v>0.02344101883564232</v>
      </c>
    </row>
    <row r="13">
      <c r="A13" s="5" t="n">
        <v>46267</v>
      </c>
      <c r="B13" s="6" t="n">
        <v>0.4255671296296296</v>
      </c>
      <c r="C13" s="24" t="inlineStr">
        <is>
          <t>Fibabanka</t>
        </is>
      </c>
      <c r="D13" s="8" t="n">
        <v>47.9974</v>
      </c>
      <c r="E13" s="8" t="n">
        <v>48.6044</v>
      </c>
      <c r="F13" s="8" t="n">
        <v>0.607</v>
      </c>
      <c r="G13" s="9" t="n">
        <v>0.01264651835307746</v>
      </c>
      <c r="H13" s="10" t="n">
        <v>55.5537</v>
      </c>
      <c r="I13" s="10" t="n">
        <v>56.2145</v>
      </c>
      <c r="J13" s="10" t="n">
        <v>0.6608000000000001</v>
      </c>
      <c r="K13" s="11" t="n">
        <v>0.01189479728622936</v>
      </c>
      <c r="L13" s="12" t="n">
        <v>6689.72</v>
      </c>
      <c r="M13" s="12" t="n">
        <v>6744.06</v>
      </c>
      <c r="N13" s="12" t="n">
        <v>54.34</v>
      </c>
      <c r="O13" s="13" t="n">
        <v>0.008122910973852419</v>
      </c>
    </row>
    <row r="14">
      <c r="A14" s="5" t="n">
        <v>46267</v>
      </c>
      <c r="B14" s="6" t="n">
        <v>0.4255671296296296</v>
      </c>
      <c r="C14" s="25" t="inlineStr">
        <is>
          <t>Garanti BBVA</t>
        </is>
      </c>
      <c r="D14" s="8" t="n">
        <v>47.454</v>
      </c>
      <c r="E14" s="8" t="n">
        <v>48.804</v>
      </c>
      <c r="F14" s="8" t="n">
        <v>1.35</v>
      </c>
      <c r="G14" s="9" t="n">
        <v>0.02844860285750411</v>
      </c>
      <c r="H14" s="10" t="n">
        <v>54.913</v>
      </c>
      <c r="I14" s="10" t="n">
        <v>56.476</v>
      </c>
      <c r="J14" s="10" t="n">
        <v>1.563</v>
      </c>
      <c r="K14" s="11" t="n">
        <v>0.02846320543405022</v>
      </c>
      <c r="L14" s="12" t="n">
        <v>6585.26</v>
      </c>
      <c r="M14" s="12" t="n">
        <v>6828.53</v>
      </c>
      <c r="N14" s="12" t="n">
        <v>243.27</v>
      </c>
      <c r="O14" s="13" t="n">
        <v>0.03694159380191519</v>
      </c>
    </row>
    <row r="15">
      <c r="A15" s="5" t="n">
        <v>46267</v>
      </c>
      <c r="B15" s="6" t="n">
        <v>0.4255671296296296</v>
      </c>
      <c r="C15" s="26" t="inlineStr">
        <is>
          <t>Getirfinans</t>
        </is>
      </c>
      <c r="D15" s="8" t="n">
        <v>47.9973</v>
      </c>
      <c r="E15" s="8" t="n">
        <v>48.6044</v>
      </c>
      <c r="F15" s="8" t="n">
        <v>0.6071</v>
      </c>
      <c r="G15" s="9" t="n">
        <v>0.01264862815200022</v>
      </c>
      <c r="H15" s="10" t="n">
        <v>55.5587</v>
      </c>
      <c r="I15" s="10" t="n">
        <v>56.2198</v>
      </c>
      <c r="J15" s="10" t="n">
        <v>0.6611</v>
      </c>
      <c r="K15" s="11" t="n">
        <v>0.01189912650943957</v>
      </c>
      <c r="L15" s="12" t="n">
        <v>6688.84</v>
      </c>
      <c r="M15" s="12" t="n">
        <v>6743.19</v>
      </c>
      <c r="N15" s="12" t="n">
        <v>54.35</v>
      </c>
      <c r="O15" s="13" t="n">
        <v>0.008125474671243445</v>
      </c>
    </row>
    <row r="16">
      <c r="A16" s="5" t="n">
        <v>46267</v>
      </c>
      <c r="B16" s="6" t="n">
        <v>0.4255671296296296</v>
      </c>
      <c r="C16" s="27" t="inlineStr">
        <is>
          <t>Halkbank</t>
        </is>
      </c>
      <c r="D16" s="8" t="n">
        <v>47.8672</v>
      </c>
      <c r="E16" s="8" t="n">
        <v>48.8472</v>
      </c>
      <c r="F16" s="8" t="n">
        <v>0.98</v>
      </c>
      <c r="G16" s="9" t="n">
        <v>0.02047330948958786</v>
      </c>
      <c r="H16" s="10" t="n">
        <v>55.3895</v>
      </c>
      <c r="I16" s="10" t="n">
        <v>56.5235</v>
      </c>
      <c r="J16" s="10" t="n">
        <v>1.134</v>
      </c>
      <c r="K16" s="11" t="n">
        <v>0.02047319437799583</v>
      </c>
      <c r="L16" s="12" t="n">
        <v>6620.19</v>
      </c>
      <c r="M16" s="12" t="n">
        <v>6824.45</v>
      </c>
      <c r="N16" s="12" t="n">
        <v>204.26</v>
      </c>
      <c r="O16" s="13" t="n">
        <v>0.03085409935364393</v>
      </c>
    </row>
    <row r="17">
      <c r="A17" s="5" t="n">
        <v>46267</v>
      </c>
      <c r="B17" s="6" t="n">
        <v>0.4255671296296296</v>
      </c>
      <c r="C17" s="28" t="inlineStr">
        <is>
          <t>Harem</t>
        </is>
      </c>
      <c r="D17" s="8" t="n">
        <v>48.161</v>
      </c>
      <c r="E17" s="8" t="n">
        <v>48.243</v>
      </c>
      <c r="F17" s="8" t="n">
        <v>0.082</v>
      </c>
      <c r="G17" s="9" t="n">
        <v>0.001702622453852702</v>
      </c>
      <c r="H17" s="10" t="n">
        <v>55.576</v>
      </c>
      <c r="I17" s="10" t="n">
        <v>55.781</v>
      </c>
      <c r="J17" s="10" t="n">
        <v>0.205</v>
      </c>
      <c r="K17" s="11" t="n">
        <v>0.003688642579530733</v>
      </c>
      <c r="L17" s="12" t="n">
        <v>6612.89</v>
      </c>
      <c r="M17" s="12" t="n">
        <v>6711.04</v>
      </c>
      <c r="N17" s="12" t="n">
        <v>98.15000000000001</v>
      </c>
      <c r="O17" s="13" t="n">
        <v>0.01484222480640083</v>
      </c>
    </row>
    <row r="18">
      <c r="A18" s="5" t="n">
        <v>46267</v>
      </c>
      <c r="B18" s="6" t="n">
        <v>0.4255671296296296</v>
      </c>
      <c r="C18" s="29" t="inlineStr">
        <is>
          <t>Hayat Finans</t>
        </is>
      </c>
      <c r="D18" s="8" t="n">
        <v>48.2175</v>
      </c>
      <c r="E18" s="8" t="n">
        <v>48.3634</v>
      </c>
      <c r="F18" s="8" t="n">
        <v>0.1459</v>
      </c>
      <c r="G18" s="9" t="n">
        <v>0.00302587234925079</v>
      </c>
      <c r="H18" s="10" t="n">
        <v>55.7839</v>
      </c>
      <c r="I18" s="10" t="n">
        <v>55.9545</v>
      </c>
      <c r="J18" s="10" t="n">
        <v>0.1706</v>
      </c>
      <c r="K18" s="11" t="n">
        <v>0.003058230062795896</v>
      </c>
      <c r="L18" s="12" t="n">
        <v>6678.34</v>
      </c>
      <c r="M18" s="12" t="n">
        <v>6725.45</v>
      </c>
      <c r="N18" s="12" t="n">
        <v>47.11</v>
      </c>
      <c r="O18" s="13" t="n">
        <v>0.007054148186525394</v>
      </c>
    </row>
    <row r="19">
      <c r="A19" s="5" t="n">
        <v>46267</v>
      </c>
      <c r="B19" s="6" t="n">
        <v>0.4255671296296296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6689.16</v>
      </c>
      <c r="M19" s="12" t="n">
        <v>6885.09</v>
      </c>
      <c r="N19" s="12" t="n">
        <v>195.93</v>
      </c>
      <c r="O19" s="13" t="n">
        <v>0.02929067326839244</v>
      </c>
    </row>
    <row r="20">
      <c r="A20" s="5" t="n">
        <v>46267</v>
      </c>
      <c r="B20" s="6" t="n">
        <v>0.4255671296296296</v>
      </c>
      <c r="C20" s="31" t="inlineStr">
        <is>
          <t>HSBC</t>
        </is>
      </c>
      <c r="D20" s="8" t="n">
        <v>47.8034</v>
      </c>
      <c r="E20" s="8" t="n">
        <v>48.69</v>
      </c>
      <c r="F20" s="8" t="n">
        <v>0.8866000000000001</v>
      </c>
      <c r="G20" s="9" t="n">
        <v>0.01854679792650732</v>
      </c>
      <c r="H20" s="10" t="n">
        <v>55.3181</v>
      </c>
      <c r="I20" s="10" t="n">
        <v>56.3773</v>
      </c>
      <c r="J20" s="10" t="n">
        <v>1.0592</v>
      </c>
      <c r="K20" s="11" t="n">
        <v>0.01914743998799669</v>
      </c>
      <c r="L20" s="12" t="n">
        <v>6620.89</v>
      </c>
      <c r="M20" s="12" t="n">
        <v>7066.08</v>
      </c>
      <c r="N20" s="12" t="n">
        <v>445.19</v>
      </c>
      <c r="O20" s="13" t="n">
        <v>0.06724020486671732</v>
      </c>
    </row>
    <row r="21">
      <c r="A21" s="5" t="n">
        <v>46267</v>
      </c>
      <c r="B21" s="6" t="n">
        <v>0.4255671296296296</v>
      </c>
      <c r="C21" s="32" t="inlineStr">
        <is>
          <t>ING Bank</t>
        </is>
      </c>
      <c r="D21" s="8" t="n">
        <v>47.751</v>
      </c>
      <c r="E21" s="8" t="n">
        <v>48.7543</v>
      </c>
      <c r="F21" s="8" t="n">
        <v>1.0033</v>
      </c>
      <c r="G21" s="9" t="n">
        <v>0.02101107830202509</v>
      </c>
      <c r="H21" s="10" t="n">
        <v>55.332</v>
      </c>
      <c r="I21" s="10" t="n">
        <v>56.3418</v>
      </c>
      <c r="J21" s="10" t="n">
        <v>1.0098</v>
      </c>
      <c r="K21" s="11" t="n">
        <v>0.0182498373454782</v>
      </c>
      <c r="L21" s="12" t="n">
        <v>6590.78</v>
      </c>
      <c r="M21" s="12" t="n">
        <v>6842.75</v>
      </c>
      <c r="N21" s="12" t="n">
        <v>251.97</v>
      </c>
      <c r="O21" s="13" t="n">
        <v>0.03823067982848768</v>
      </c>
    </row>
    <row r="22">
      <c r="A22" s="5" t="n">
        <v>46267</v>
      </c>
      <c r="B22" s="6" t="n">
        <v>0.4255671296296296</v>
      </c>
      <c r="C22" s="33" t="inlineStr">
        <is>
          <t>İş Bankası</t>
        </is>
      </c>
      <c r="D22" s="8" t="n">
        <v>47.6773</v>
      </c>
      <c r="E22" s="8" t="n">
        <v>48.8332</v>
      </c>
      <c r="F22" s="8" t="n">
        <v>1.1559</v>
      </c>
      <c r="G22" s="9" t="n">
        <v>0.02424424201873848</v>
      </c>
      <c r="H22" s="10" t="n">
        <v>55.1627</v>
      </c>
      <c r="I22" s="10" t="n">
        <v>56.5097</v>
      </c>
      <c r="J22" s="10" t="n">
        <v>1.347</v>
      </c>
      <c r="K22" s="11" t="n">
        <v>0.0244186742128286</v>
      </c>
      <c r="L22" s="12" t="n">
        <v>6612.14</v>
      </c>
      <c r="M22" s="12" t="n">
        <v>6793.93</v>
      </c>
      <c r="N22" s="12" t="n">
        <v>181.79</v>
      </c>
      <c r="O22" s="13" t="n">
        <v>0.02749336825899028</v>
      </c>
    </row>
    <row r="23">
      <c r="A23" s="5" t="n">
        <v>46267</v>
      </c>
      <c r="B23" s="6" t="n">
        <v>0.4255671296296296</v>
      </c>
      <c r="C23" s="34" t="inlineStr">
        <is>
          <t>Kapalıçarşı</t>
        </is>
      </c>
      <c r="D23" s="8" t="n">
        <v>48.17</v>
      </c>
      <c r="E23" s="8" t="n">
        <v>48.18</v>
      </c>
      <c r="F23" s="8" t="n">
        <v>0.01</v>
      </c>
      <c r="G23" s="9" t="n">
        <v>0.0002075980900975711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46267</v>
      </c>
      <c r="B24" s="6" t="n">
        <v>0.4255671296296296</v>
      </c>
      <c r="C24" s="35" t="inlineStr">
        <is>
          <t>Kuveyt Türk</t>
        </is>
      </c>
      <c r="D24" s="8" t="n">
        <v>47.612</v>
      </c>
      <c r="E24" s="8" t="n">
        <v>48.5982</v>
      </c>
      <c r="F24" s="8" t="n">
        <v>0.9862</v>
      </c>
      <c r="G24" s="9" t="n">
        <v>0.02071326556330337</v>
      </c>
      <c r="H24" s="10" t="n">
        <v>55.0966</v>
      </c>
      <c r="I24" s="10" t="n">
        <v>56.2418</v>
      </c>
      <c r="J24" s="10" t="n">
        <v>1.1452</v>
      </c>
      <c r="K24" s="11" t="n">
        <v>0.02078531161632478</v>
      </c>
      <c r="L24" s="12" t="n">
        <v>6569.34</v>
      </c>
      <c r="M24" s="12" t="n">
        <v>6743.7</v>
      </c>
      <c r="N24" s="12" t="n">
        <v>174.36</v>
      </c>
      <c r="O24" s="13" t="n">
        <v>0.02654147905269022</v>
      </c>
    </row>
    <row r="25">
      <c r="A25" s="5" t="n">
        <v>46267</v>
      </c>
      <c r="B25" s="6" t="n">
        <v>0.4255671296296296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0.4255671296296296</v>
      </c>
      <c r="C26" s="37" t="inlineStr">
        <is>
          <t>Misyon Bank</t>
        </is>
      </c>
      <c r="D26" s="8" t="n">
        <v>48.2261</v>
      </c>
      <c r="E26" s="8" t="n">
        <v>48.2795</v>
      </c>
      <c r="F26" s="8" t="n">
        <v>0.0534</v>
      </c>
      <c r="G26" s="9" t="n">
        <v>0.001107284229908701</v>
      </c>
      <c r="H26" s="10" t="n">
        <v>55.7892</v>
      </c>
      <c r="I26" s="10" t="n">
        <v>55.8696</v>
      </c>
      <c r="J26" s="10" t="n">
        <v>0.0804</v>
      </c>
      <c r="K26" s="11" t="n">
        <v>0.001441139145210901</v>
      </c>
      <c r="L26" s="12" t="n">
        <v>6667.06</v>
      </c>
      <c r="M26" s="12" t="n">
        <v>6695.93</v>
      </c>
      <c r="N26" s="12" t="n">
        <v>28.87</v>
      </c>
      <c r="O26" s="13" t="n">
        <v>0.004330244515573582</v>
      </c>
    </row>
    <row r="27">
      <c r="A27" s="5" t="n">
        <v>46267</v>
      </c>
      <c r="B27" s="6" t="n">
        <v>0.4255671296296296</v>
      </c>
      <c r="C27" s="38" t="inlineStr">
        <is>
          <t>Odacı</t>
        </is>
      </c>
      <c r="D27" s="8" t="n">
        <v>48.186</v>
      </c>
      <c r="E27" s="8" t="n">
        <v>48.298</v>
      </c>
      <c r="F27" s="8" t="n">
        <v>0.112</v>
      </c>
      <c r="G27" s="9" t="n">
        <v>0.002324326567882787</v>
      </c>
      <c r="H27" s="10" t="n">
        <v>55.59</v>
      </c>
      <c r="I27" s="10" t="n">
        <v>55.849</v>
      </c>
      <c r="J27" s="10" t="n">
        <v>0.259</v>
      </c>
      <c r="K27" s="11" t="n">
        <v>0.004659111350962403</v>
      </c>
      <c r="L27" s="12" t="n">
        <v>6622</v>
      </c>
      <c r="M27" s="12" t="n">
        <v>6703</v>
      </c>
      <c r="N27" s="12" t="n">
        <v>81</v>
      </c>
      <c r="O27" s="13" t="n">
        <v>0.01223195409241921</v>
      </c>
    </row>
    <row r="28">
      <c r="A28" s="5" t="n">
        <v>46267</v>
      </c>
      <c r="B28" s="6" t="n">
        <v>0.4255671296296296</v>
      </c>
      <c r="C28" s="39" t="inlineStr">
        <is>
          <t>Odeabank</t>
        </is>
      </c>
      <c r="D28" s="8" t="n">
        <v>47.7605</v>
      </c>
      <c r="E28" s="8" t="n">
        <v>48.7605</v>
      </c>
      <c r="F28" s="8" t="n">
        <v>1</v>
      </c>
      <c r="G28" s="9" t="n">
        <v>0.02093780425246804</v>
      </c>
      <c r="H28" s="10" t="n">
        <v>55.295</v>
      </c>
      <c r="I28" s="10" t="n">
        <v>56.385</v>
      </c>
      <c r="J28" s="10" t="n">
        <v>1.09</v>
      </c>
      <c r="K28" s="11" t="n">
        <v>0.01971245139705217</v>
      </c>
      <c r="L28" s="12" t="n">
        <v>6662.96</v>
      </c>
      <c r="M28" s="12" t="n">
        <v>6762.96</v>
      </c>
      <c r="N28" s="12" t="n">
        <v>100</v>
      </c>
      <c r="O28" s="13" t="n">
        <v>0.01500834463961963</v>
      </c>
    </row>
    <row r="29">
      <c r="A29" s="5" t="n">
        <v>46267</v>
      </c>
      <c r="B29" s="6" t="n">
        <v>0.4255671296296296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6687.89</v>
      </c>
      <c r="M29" s="12" t="n">
        <v>6870.05</v>
      </c>
      <c r="N29" s="12" t="n">
        <v>182.16</v>
      </c>
      <c r="O29" s="13" t="n">
        <v>0.02723729008700801</v>
      </c>
    </row>
    <row r="30">
      <c r="A30" s="5" t="n">
        <v>46267</v>
      </c>
      <c r="B30" s="6" t="n">
        <v>0.4255671296296296</v>
      </c>
      <c r="C30" s="41" t="inlineStr">
        <is>
          <t>QNB Finansbank</t>
        </is>
      </c>
      <c r="D30" s="8" t="n">
        <v>47.687</v>
      </c>
      <c r="E30" s="8" t="n">
        <v>48.907</v>
      </c>
      <c r="F30" s="8" t="n">
        <v>1.22</v>
      </c>
      <c r="G30" s="9" t="n">
        <v>0.0255834923564074</v>
      </c>
      <c r="H30" s="10" t="n">
        <v>55.0676</v>
      </c>
      <c r="I30" s="10" t="n">
        <v>56.7239</v>
      </c>
      <c r="J30" s="10" t="n">
        <v>1.6563</v>
      </c>
      <c r="K30" s="11" t="n">
        <v>0.03007757737762314</v>
      </c>
      <c r="L30" s="12" t="n">
        <v>6591.35</v>
      </c>
      <c r="M30" s="12" t="n">
        <v>6789.23</v>
      </c>
      <c r="N30" s="12" t="n">
        <v>197.88</v>
      </c>
      <c r="O30" s="13" t="n">
        <v>0.03002116410143597</v>
      </c>
    </row>
    <row r="31">
      <c r="A31" s="5" t="n">
        <v>46267</v>
      </c>
      <c r="B31" s="6" t="n">
        <v>0.4255671296296296</v>
      </c>
      <c r="C31" s="42" t="inlineStr">
        <is>
          <t>TOM Bank Hadi</t>
        </is>
      </c>
      <c r="D31" s="8" t="n">
        <v>48.1338</v>
      </c>
      <c r="E31" s="8" t="n">
        <v>48.3752</v>
      </c>
      <c r="F31" s="8" t="n">
        <v>0.2414</v>
      </c>
      <c r="G31" s="9" t="n">
        <v>0.005015186833368651</v>
      </c>
      <c r="H31" s="10" t="n">
        <v>55.645</v>
      </c>
      <c r="I31" s="10" t="n">
        <v>55.9802</v>
      </c>
      <c r="J31" s="10" t="n">
        <v>0.3352</v>
      </c>
      <c r="K31" s="11" t="n">
        <v>0.006023901518555126</v>
      </c>
      <c r="L31" s="12" t="n">
        <v>6604.8</v>
      </c>
      <c r="M31" s="12" t="n">
        <v>6738.56</v>
      </c>
      <c r="N31" s="12" t="n">
        <v>133.76</v>
      </c>
      <c r="O31" s="13" t="n">
        <v>0.02025193798449612</v>
      </c>
    </row>
    <row r="32">
      <c r="A32" s="5" t="n">
        <v>46267</v>
      </c>
      <c r="B32" s="6" t="n">
        <v>0.4255671296296296</v>
      </c>
      <c r="C32" s="43" t="inlineStr">
        <is>
          <t>Türkiye Finans</t>
        </is>
      </c>
      <c r="D32" s="8" t="n">
        <v>47.8519</v>
      </c>
      <c r="E32" s="8" t="n">
        <v>48.6541</v>
      </c>
      <c r="F32" s="8" t="n">
        <v>0.8022</v>
      </c>
      <c r="G32" s="9" t="n">
        <v>0.01676422461804025</v>
      </c>
      <c r="H32" s="10" t="n">
        <v>55.397</v>
      </c>
      <c r="I32" s="10" t="n">
        <v>56.2478</v>
      </c>
      <c r="J32" s="10" t="n">
        <v>0.8508</v>
      </c>
      <c r="K32" s="11" t="n">
        <v>0.01535823239525606</v>
      </c>
      <c r="L32" s="12" t="n">
        <v>6612.92</v>
      </c>
      <c r="M32" s="12" t="n">
        <v>6809.26</v>
      </c>
      <c r="N32" s="12" t="n">
        <v>196.34</v>
      </c>
      <c r="O32" s="13" t="n">
        <v>0.02969036371224814</v>
      </c>
    </row>
    <row r="33">
      <c r="A33" s="5" t="n">
        <v>46267</v>
      </c>
      <c r="B33" s="6" t="n">
        <v>0.4255671296296296</v>
      </c>
      <c r="C33" s="44" t="inlineStr">
        <is>
          <t>Vakıf Katılım</t>
        </is>
      </c>
      <c r="D33" s="8" t="n">
        <v>48.1531</v>
      </c>
      <c r="E33" s="8" t="n">
        <v>48.3562</v>
      </c>
      <c r="F33" s="8" t="n">
        <v>0.2031</v>
      </c>
      <c r="G33" s="9" t="n">
        <v>0.004217796985033155</v>
      </c>
      <c r="H33" s="10" t="n">
        <v>55.7116</v>
      </c>
      <c r="I33" s="10" t="n">
        <v>55.936</v>
      </c>
      <c r="J33" s="10" t="n">
        <v>0.2244</v>
      </c>
      <c r="K33" s="11" t="n">
        <v>0.004027886472476109</v>
      </c>
      <c r="L33" s="12" t="n">
        <v>6652.04</v>
      </c>
      <c r="M33" s="12" t="n">
        <v>6705.47</v>
      </c>
      <c r="N33" s="12" t="n">
        <v>53.43</v>
      </c>
      <c r="O33" s="13" t="n">
        <v>0.008032122476713911</v>
      </c>
    </row>
    <row r="34">
      <c r="A34" s="5" t="n">
        <v>46267</v>
      </c>
      <c r="B34" s="6" t="n">
        <v>0.4255671296296296</v>
      </c>
      <c r="C34" s="45" t="inlineStr">
        <is>
          <t>Vakıfbank</t>
        </is>
      </c>
      <c r="D34" s="8" t="n">
        <v>47.8942</v>
      </c>
      <c r="E34" s="8" t="n">
        <v>48.8552</v>
      </c>
      <c r="F34" s="8" t="n">
        <v>0.961</v>
      </c>
      <c r="G34" s="9" t="n">
        <v>0.02006506006990408</v>
      </c>
      <c r="H34" s="10" t="n">
        <v>55.4462</v>
      </c>
      <c r="I34" s="10" t="n">
        <v>56.5482</v>
      </c>
      <c r="J34" s="10" t="n">
        <v>1.102</v>
      </c>
      <c r="K34" s="11" t="n">
        <v>0.01987512219051982</v>
      </c>
      <c r="L34" s="12" t="n">
        <v>6622.55</v>
      </c>
      <c r="M34" s="12" t="n">
        <v>6767.15</v>
      </c>
      <c r="N34" s="12" t="n">
        <v>144.6</v>
      </c>
      <c r="O34" s="13" t="n">
        <v>0.02183448973582683</v>
      </c>
    </row>
    <row r="35">
      <c r="A35" s="5" t="n">
        <v>46267</v>
      </c>
      <c r="B35" s="6" t="n">
        <v>0.4255671296296296</v>
      </c>
      <c r="C35" s="46" t="inlineStr">
        <is>
          <t>Venüs</t>
        </is>
      </c>
      <c r="D35" s="8" t="n">
        <v>48.178</v>
      </c>
      <c r="E35" s="8" t="n">
        <v>48.248</v>
      </c>
      <c r="F35" s="8" t="n">
        <v>0.07000000000000001</v>
      </c>
      <c r="G35" s="9" t="n">
        <v>0.001452945327742953</v>
      </c>
      <c r="H35" s="10" t="n">
        <v>55.617</v>
      </c>
      <c r="I35" s="10" t="n">
        <v>55.78</v>
      </c>
      <c r="J35" s="10" t="n">
        <v>0.163</v>
      </c>
      <c r="K35" s="11" t="n">
        <v>0.002930758581009403</v>
      </c>
      <c r="L35" s="12" t="n"/>
      <c r="M35" s="12" t="n"/>
      <c r="N35" s="12" t="n"/>
      <c r="O35" s="13" t="n"/>
    </row>
    <row r="36">
      <c r="A36" s="5" t="n">
        <v>46267</v>
      </c>
      <c r="B36" s="6" t="n">
        <v>0.4255671296296296</v>
      </c>
      <c r="C36" s="47" t="inlineStr">
        <is>
          <t>Yapıkredi</t>
        </is>
      </c>
      <c r="D36" s="8" t="n">
        <v>47.65</v>
      </c>
      <c r="E36" s="8" t="n">
        <v>48.65</v>
      </c>
      <c r="F36" s="8" t="n">
        <v>1</v>
      </c>
      <c r="G36" s="9" t="n">
        <v>0.02098635886673662</v>
      </c>
      <c r="H36" s="10" t="n">
        <v>55.14</v>
      </c>
      <c r="I36" s="10" t="n">
        <v>56.28</v>
      </c>
      <c r="J36" s="10" t="n">
        <v>1.14</v>
      </c>
      <c r="K36" s="11" t="n">
        <v>0.02067464635473341</v>
      </c>
      <c r="L36" s="12" t="n">
        <v>6587.03</v>
      </c>
      <c r="M36" s="12" t="n">
        <v>6789.52</v>
      </c>
      <c r="N36" s="12" t="n">
        <v>202.49</v>
      </c>
      <c r="O36" s="13" t="n">
        <v>0.03074071318940403</v>
      </c>
    </row>
    <row r="37">
      <c r="A37" s="5" t="n">
        <v>46267</v>
      </c>
      <c r="B37" s="6" t="n">
        <v>0.4255671296296296</v>
      </c>
      <c r="C37" s="48" t="inlineStr">
        <is>
          <t>Ziraat Bankası</t>
        </is>
      </c>
      <c r="D37" s="8" t="n">
        <v>47.89</v>
      </c>
      <c r="E37" s="8" t="n">
        <v>48.8588</v>
      </c>
      <c r="F37" s="8" t="n">
        <v>0.9688</v>
      </c>
      <c r="G37" s="9" t="n">
        <v>0.02022969304656505</v>
      </c>
      <c r="H37" s="10" t="n">
        <v>55.4011</v>
      </c>
      <c r="I37" s="10" t="n">
        <v>56.5219</v>
      </c>
      <c r="J37" s="10" t="n">
        <v>1.1208</v>
      </c>
      <c r="K37" s="11" t="n">
        <v>0.02023064523989596</v>
      </c>
      <c r="L37" s="12" t="n">
        <v>6646.34</v>
      </c>
      <c r="M37" s="12" t="n">
        <v>6780.54</v>
      </c>
      <c r="N37" s="12" t="n">
        <v>134.2</v>
      </c>
      <c r="O37" s="13" t="n">
        <v>0.0201915640788765</v>
      </c>
    </row>
    <row r="38">
      <c r="A38" s="5" t="n">
        <v>46267</v>
      </c>
      <c r="B38" s="6" t="n">
        <v>0.4255671296296296</v>
      </c>
      <c r="C38" s="49" t="inlineStr">
        <is>
          <t>Ziraat Dinamik</t>
        </is>
      </c>
      <c r="D38" s="8" t="n">
        <v>47.9378</v>
      </c>
      <c r="E38" s="8" t="n">
        <v>48.59</v>
      </c>
      <c r="F38" s="8" t="n">
        <v>0.6522</v>
      </c>
      <c r="G38" s="9" t="n">
        <v>0.01360512998093363</v>
      </c>
      <c r="H38" s="10" t="n">
        <v>55.4081</v>
      </c>
      <c r="I38" s="10" t="n">
        <v>56.2181</v>
      </c>
      <c r="J38" s="10" t="n">
        <v>0.8100000000000001</v>
      </c>
      <c r="K38" s="11" t="n">
        <v>0.01461880122220397</v>
      </c>
      <c r="L38" s="12" t="n">
        <v>6625.2</v>
      </c>
      <c r="M38" s="12" t="n">
        <v>6758.97</v>
      </c>
      <c r="N38" s="12" t="n">
        <v>133.77</v>
      </c>
      <c r="O38" s="13" t="n">
        <v>0.02019108857091107</v>
      </c>
    </row>
    <row r="39">
      <c r="A39" s="5" t="n">
        <v>46267</v>
      </c>
      <c r="B39" s="6" t="n">
        <v>0.4255671296296296</v>
      </c>
      <c r="C39" s="50" t="inlineStr">
        <is>
          <t>Ziraat Katılım</t>
        </is>
      </c>
      <c r="D39" s="8" t="n">
        <v>47.7679</v>
      </c>
      <c r="E39" s="8" t="n">
        <v>48.7655</v>
      </c>
      <c r="F39" s="8" t="n">
        <v>0.9976</v>
      </c>
      <c r="G39" s="9" t="n">
        <v>0.02088431771126635</v>
      </c>
      <c r="H39" s="10" t="n">
        <v>55.2328</v>
      </c>
      <c r="I39" s="10" t="n">
        <v>56.442</v>
      </c>
      <c r="J39" s="10" t="n">
        <v>1.2092</v>
      </c>
      <c r="K39" s="11" t="n">
        <v>0.02189278834315841</v>
      </c>
      <c r="L39" s="12" t="n">
        <v>6645.46</v>
      </c>
      <c r="M39" s="12" t="n">
        <v>6856.51</v>
      </c>
      <c r="N39" s="12" t="n">
        <v>211.05</v>
      </c>
      <c r="O39" s="13" t="n">
        <v>0.0317585238644127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5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55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 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 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 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 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 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 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 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 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 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 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 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 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 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 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 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 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 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 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 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 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 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 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 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 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 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 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 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 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 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 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 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 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 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 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 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 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 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 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 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 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 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 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 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 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 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 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 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 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 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 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 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 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 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 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 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 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 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 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 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 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 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 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 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 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 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 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 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 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 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 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 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 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 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 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 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 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 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 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 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 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 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 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 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 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 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 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 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 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 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 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 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 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 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 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 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 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 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 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 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 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 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 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 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 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 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 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 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 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 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 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 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 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 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 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 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 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 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 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 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 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 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 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 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 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 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 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 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 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 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 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 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 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 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 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 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 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 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 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 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 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 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 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 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 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 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 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 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 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 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 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 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 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 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 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 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 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 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 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 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 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 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 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 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 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 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 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 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 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 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 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 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 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 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 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 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 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 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 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 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 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 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 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 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 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 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 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 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 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 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 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 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 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 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 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 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 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 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 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 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 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 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 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 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 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 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 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 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 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 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 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 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 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 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 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 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 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5" customWidth="1" min="8" max="8"/>
    <col width="15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 ht="26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C4" s="62" t="n">
        <v>46267</v>
      </c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C5" s="63" t="n">
        <v>0.4255671296296296</v>
      </c>
      <c r="F5" s="64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4" t="n">
        <v>5</v>
      </c>
      <c r="N5" s="70" t="n">
        <v>0.02022969304656505</v>
      </c>
      <c r="O5" s="71" t="inlineStr">
        <is>
          <t>Ziraat Bankası</t>
        </is>
      </c>
      <c r="P5" s="72" t="n">
        <v>47.89</v>
      </c>
      <c r="Q5" s="72" t="n">
        <v>48.8588</v>
      </c>
    </row>
    <row r="6">
      <c r="A6" s="61" t="inlineStr">
        <is>
          <t>Sağlayıcı sayısı</t>
        </is>
      </c>
      <c r="C6" s="73" t="n">
        <v>38</v>
      </c>
      <c r="F6" s="64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4" t="n">
        <v>5</v>
      </c>
      <c r="N6" s="70" t="n">
        <v>0.02023064523989596</v>
      </c>
      <c r="O6" s="71" t="inlineStr">
        <is>
          <t>Ziraat Bankası</t>
        </is>
      </c>
      <c r="P6" s="72" t="n">
        <v>55.4011</v>
      </c>
      <c r="Q6" s="72" t="n">
        <v>56.5219</v>
      </c>
    </row>
    <row r="7">
      <c r="A7" s="61" t="inlineStr">
        <is>
          <t>Ürün kaydı</t>
        </is>
      </c>
      <c r="C7" s="73" t="n">
        <v>108</v>
      </c>
      <c r="F7" s="64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4" t="n">
        <v>5</v>
      </c>
      <c r="N7" s="70" t="n">
        <v>0.0201915640788765</v>
      </c>
      <c r="O7" s="71" t="inlineStr">
        <is>
          <t>Ziraat Bankası</t>
        </is>
      </c>
      <c r="P7" s="72" t="n">
        <v>6646.34</v>
      </c>
      <c r="Q7" s="72" t="n">
        <v>6780.54</v>
      </c>
    </row>
    <row r="8">
      <c r="A8" s="61" t="inlineStr">
        <is>
          <t>Hatalı kayıt</t>
        </is>
      </c>
      <c r="C8" s="73" t="n">
        <v>0</v>
      </c>
      <c r="F8" s="64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C9" s="73" t="n">
        <v>0</v>
      </c>
      <c r="F9" s="64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4" t="inlineStr">
        <is>
          <t>Eylül 2026</t>
        </is>
      </c>
      <c r="G10" s="65" t="inlineStr">
        <is>
          <t>Garanti BBVA</t>
        </is>
      </c>
      <c r="H10" s="66" t="n">
        <v>0.02845400039156511</v>
      </c>
      <c r="I10" s="67" t="n">
        <v>0.02846019565754637</v>
      </c>
      <c r="J10" s="68" t="n">
        <v>0.03694321012774233</v>
      </c>
    </row>
    <row r="11">
      <c r="F11" s="64" t="inlineStr">
        <is>
          <t>Eylül 2026</t>
        </is>
      </c>
      <c r="G11" s="74" t="inlineStr">
        <is>
          <t>Akbank</t>
        </is>
      </c>
      <c r="H11" s="66" t="n">
        <v>0.0284261405518742</v>
      </c>
      <c r="I11" s="67" t="n">
        <v>0.02847118412784268</v>
      </c>
      <c r="J11" s="68" t="n">
        <v>0.03614313031148214</v>
      </c>
    </row>
    <row r="12">
      <c r="F12" s="64" t="inlineStr">
        <is>
          <t>Eylül 2026</t>
        </is>
      </c>
      <c r="G12" s="76" t="inlineStr">
        <is>
          <t>Yapıkredi</t>
        </is>
      </c>
      <c r="H12" s="66" t="n">
        <v>0.02109574084424381</v>
      </c>
      <c r="I12" s="67" t="n">
        <v>0.02046731269055863</v>
      </c>
      <c r="J12" s="68" t="n">
        <v>0.03051048704906535</v>
      </c>
    </row>
    <row r="13">
      <c r="F13" s="64" t="inlineStr">
        <is>
          <t>Eylül 2026</t>
        </is>
      </c>
      <c r="G13" s="71" t="inlineStr">
        <is>
          <t>Ziraat Bankası</t>
        </is>
      </c>
      <c r="H13" s="66" t="n">
        <v>0.02023029953768716</v>
      </c>
      <c r="I13" s="67" t="n">
        <v>0.02023090916840954</v>
      </c>
      <c r="J13" s="68" t="n">
        <v>0.02019194235075064</v>
      </c>
    </row>
    <row r="14">
      <c r="F14" s="64" t="inlineStr">
        <is>
          <t>Eylül 2026</t>
        </is>
      </c>
      <c r="G14" s="78" t="inlineStr">
        <is>
          <t>İş Bankası</t>
        </is>
      </c>
      <c r="H14" s="66" t="n">
        <v>0.02422333905778681</v>
      </c>
      <c r="I14" s="67" t="n">
        <v>0.02435060197965432</v>
      </c>
      <c r="J14" s="68" t="n">
        <v>0.02742927462036698</v>
      </c>
    </row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0.02845400039156511</v>
      </c>
      <c r="V3" s="55" t="n">
        <v>0.0284261405518742</v>
      </c>
      <c r="W3" s="55" t="n">
        <v>0.02109574084424381</v>
      </c>
      <c r="X3" s="55" t="n">
        <v>0.02023029953768716</v>
      </c>
      <c r="Y3" s="55" t="n">
        <v>0.02422333905778681</v>
      </c>
      <c r="Z3" s="55" t="n">
        <v>0.02846019565754637</v>
      </c>
      <c r="AA3" s="55" t="n">
        <v>0.02847118412784268</v>
      </c>
      <c r="AB3" s="55" t="n">
        <v>0.02046731269055863</v>
      </c>
      <c r="AC3" s="55" t="n">
        <v>0.02023090916840954</v>
      </c>
      <c r="AD3" s="55" t="n">
        <v>0.02435060197965432</v>
      </c>
      <c r="AE3" s="55" t="n">
        <v>0.03694321012774233</v>
      </c>
      <c r="AF3" s="55" t="n">
        <v>0.03614313031148214</v>
      </c>
      <c r="AG3" s="55" t="n">
        <v>0.03051048704906535</v>
      </c>
      <c r="AH3" s="55" t="n">
        <v>0.02019194235075064</v>
      </c>
      <c r="AI3" s="55" t="n">
        <v>0.02742927462036698</v>
      </c>
    </row>
    <row r="4">
      <c r="A4" t="inlineStr">
        <is>
          <t>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2026-09-02T07:13:30Z</dcterms:created>
  <dcterms:modified xsi:type="dcterms:W3CDTF">2026-09-02T07:13:30Z</dcterms:modified>
</cp:coreProperties>
</file>