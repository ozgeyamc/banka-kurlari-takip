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ZET" sheetId="1" state="visible" r:id="rId1"/>
    <sheet name="GUNCEL_KURLAR" sheetId="2" state="visible" r:id="rId2"/>
    <sheet name="GECMIS" sheetId="3" state="visible" r:id="rId3"/>
    <sheet name="KONTROL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  <font>
      <name val="Calibri"/>
      <family val="2"/>
      <color theme="1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1F4E78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10" fontId="0" fillId="0" borderId="1" pivotButton="0" quotePrefix="0" xfId="0"/>
    <xf numFmtId="167" fontId="0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5" borderId="0" pivotButton="0" quotePrefix="0" xfId="0"/>
    <xf numFmtId="0" fontId="4" fillId="0" borderId="0" pivotButton="0" quotePrefix="0" xfId="1"/>
    <xf numFmtId="0" fontId="0" fillId="0" borderId="0" applyAlignment="1" pivotButton="0" quotePrefix="0" xfId="0">
      <alignment vertical="top" wrapText="1"/>
    </xf>
    <xf numFmtId="0" fontId="2" fillId="5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Ürün Bazında En Düşük Makas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'OZET'!C11</f>
            </strRef>
          </tx>
          <spPr>
            <a:ln>
              <a:prstDash val="solid"/>
            </a:ln>
          </spPr>
          <cat>
            <numRef>
              <f>'OZET'!$A$12:$A$14</f>
            </numRef>
          </cat>
          <val>
            <numRef>
              <f>'OZET'!$C$12:$C$14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Ürün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109" headerRowCount="1">
  <autoFilter ref="A1:N10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kur.doviz.com/serbest-piyasa/euro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euro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euro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euro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euro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euro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amerikan-dolari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amerikan-dolari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amerikan-dolari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amerikan-dolari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amerikan-dolari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amerikan-dolari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euro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euro" TargetMode="External" Id="rId56" /><Relationship Type="http://schemas.openxmlformats.org/officeDocument/2006/relationships/hyperlink" Target="https://kur.doviz.com/serbest-piyasa/amerikan-dolari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euro" TargetMode="External" Id="rId59" /><Relationship Type="http://schemas.openxmlformats.org/officeDocument/2006/relationships/hyperlink" Target="https://kur.doviz.com/serbest-piyasa/amerikan-dolari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euro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euro" TargetMode="External" Id="rId65" /><Relationship Type="http://schemas.openxmlformats.org/officeDocument/2006/relationships/hyperlink" Target="https://kur.doviz.com/serbest-piyasa/amerikan-dolari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kur.doviz.com/serbest-piyasa/amerikan-dolari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euro" TargetMode="External" Id="rId73" /><Relationship Type="http://schemas.openxmlformats.org/officeDocument/2006/relationships/hyperlink" Target="https://kur.doviz.com/serbest-piyasa/amerikan-dolari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altin.doviz.com/gram-altin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euro" TargetMode="External" Id="rId80" /><Relationship Type="http://schemas.openxmlformats.org/officeDocument/2006/relationships/hyperlink" Target="https://kur.doviz.com/serbest-piyasa/amerikan-dolari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amerikan-dolari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euro" TargetMode="External" Id="rId86" /><Relationship Type="http://schemas.openxmlformats.org/officeDocument/2006/relationships/hyperlink" Target="https://kur.doviz.com/serbest-piyasa/amerikan-dolari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euro" TargetMode="External" Id="rId89" /><Relationship Type="http://schemas.openxmlformats.org/officeDocument/2006/relationships/hyperlink" Target="https://kur.doviz.com/serbest-piyasa/amerikan-dolari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euro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euro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altin.doviz.com/gram-altin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kur.doviz.com/serbest-piyasa/amerikan-dolari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euro" TargetMode="External" Id="rId103" /><Relationship Type="http://schemas.openxmlformats.org/officeDocument/2006/relationships/hyperlink" Target="https://kur.doviz.com/serbest-piyasa/amerikan-dolari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euro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table" Target="/xl/tables/table2.xml" Id="rId10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1" t="inlineStr">
        <is>
          <t>Döviz.com Kur Takip Özeti</t>
        </is>
      </c>
    </row>
    <row r="3">
      <c r="A3" s="2" t="inlineStr">
        <is>
          <t>Son Çekim Tarihi</t>
        </is>
      </c>
      <c r="B3" s="3" t="n">
        <v>46262</v>
      </c>
    </row>
    <row r="4">
      <c r="A4" s="2" t="inlineStr">
        <is>
          <t>Son Çekim Saati</t>
        </is>
      </c>
      <c r="B4" s="4" t="n">
        <v>0.5570949074074074</v>
      </c>
    </row>
    <row r="5">
      <c r="A5" s="2" t="inlineStr">
        <is>
          <t>Toplam Sağlayıcı</t>
        </is>
      </c>
      <c r="B5" s="5" t="n">
        <v>38</v>
      </c>
    </row>
    <row r="6">
      <c r="A6" s="2" t="inlineStr">
        <is>
          <t>Son Çekim Toplam Kayıt</t>
        </is>
      </c>
      <c r="B6" s="5" t="n">
        <v>108</v>
      </c>
    </row>
    <row r="7">
      <c r="A7" s="2" t="inlineStr">
        <is>
          <t>ERROR</t>
        </is>
      </c>
      <c r="B7" s="5" t="n">
        <v>0</v>
      </c>
    </row>
    <row r="8">
      <c r="A8" s="2" t="inlineStr">
        <is>
          <t>KONTROL</t>
        </is>
      </c>
      <c r="B8" s="5" t="n">
        <v>0</v>
      </c>
    </row>
    <row r="11">
      <c r="A11" s="6" t="inlineStr">
        <is>
          <t>Ürün</t>
        </is>
      </c>
      <c r="B11" s="6" t="inlineStr">
        <is>
          <t>Sağlayıcı Sayısı</t>
        </is>
      </c>
      <c r="C11" s="6" t="inlineStr">
        <is>
          <t>En Düşük Makas %</t>
        </is>
      </c>
      <c r="D11" s="6" t="inlineStr">
        <is>
          <t>Sağlayıcı</t>
        </is>
      </c>
      <c r="E11" s="6" t="inlineStr">
        <is>
          <t>Alış</t>
        </is>
      </c>
      <c r="F11" s="6" t="inlineStr">
        <is>
          <t>Satış</t>
        </is>
      </c>
    </row>
    <row r="12">
      <c r="A12" s="5" t="inlineStr">
        <is>
          <t>DOLAR</t>
        </is>
      </c>
      <c r="B12" s="5" t="n">
        <v>36</v>
      </c>
      <c r="C12" s="7" t="n">
        <v>0.000208073241781107</v>
      </c>
      <c r="D12" s="5" t="inlineStr">
        <is>
          <t>Kapalıçarşı</t>
        </is>
      </c>
      <c r="E12" s="8" t="n">
        <v>48.06</v>
      </c>
      <c r="F12" s="8" t="n">
        <v>48.07</v>
      </c>
    </row>
    <row r="13">
      <c r="A13" s="5" t="inlineStr">
        <is>
          <t>EURO</t>
        </is>
      </c>
      <c r="B13" s="5" t="n">
        <v>36</v>
      </c>
      <c r="C13" s="7" t="n">
        <v>0.0008952551477170994</v>
      </c>
      <c r="D13" s="5" t="inlineStr">
        <is>
          <t>Kapalıçarşı</t>
        </is>
      </c>
      <c r="E13" s="8" t="n">
        <v>55.85</v>
      </c>
      <c r="F13" s="8" t="n">
        <v>55.9</v>
      </c>
    </row>
    <row r="14">
      <c r="A14" s="5" t="inlineStr">
        <is>
          <t>GRAM ALTIN</t>
        </is>
      </c>
      <c r="B14" s="5" t="n">
        <v>36</v>
      </c>
      <c r="C14" s="7" t="n">
        <v>0.0008905096509512647</v>
      </c>
      <c r="D14" s="5" t="inlineStr">
        <is>
          <t>Kapalıçarşı</t>
        </is>
      </c>
      <c r="E14" s="8" t="n">
        <v>7085.83</v>
      </c>
      <c r="F14" s="8" t="n">
        <v>7092.14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6" t="inlineStr">
        <is>
          <t>Tarih</t>
        </is>
      </c>
      <c r="B1" s="6" t="inlineStr">
        <is>
          <t>Saat</t>
        </is>
      </c>
      <c r="C1" s="6" t="inlineStr">
        <is>
          <t>Kurum / Sağlayıcı</t>
        </is>
      </c>
      <c r="D1" s="6" t="inlineStr">
        <is>
          <t>Dolar Alış</t>
        </is>
      </c>
      <c r="E1" s="6" t="inlineStr">
        <is>
          <t>Dolar Satış</t>
        </is>
      </c>
      <c r="F1" s="6" t="inlineStr">
        <is>
          <t>Dolar Makas</t>
        </is>
      </c>
      <c r="G1" s="6" t="inlineStr">
        <is>
          <t>Dolar Makas %</t>
        </is>
      </c>
      <c r="H1" s="6" t="inlineStr">
        <is>
          <t>Euro Alış</t>
        </is>
      </c>
      <c r="I1" s="6" t="inlineStr">
        <is>
          <t>Euro Satış</t>
        </is>
      </c>
      <c r="J1" s="6" t="inlineStr">
        <is>
          <t>Euro Makas</t>
        </is>
      </c>
      <c r="K1" s="6" t="inlineStr">
        <is>
          <t>Euro Makas %</t>
        </is>
      </c>
      <c r="L1" s="6" t="inlineStr">
        <is>
          <t>Gram Altın Alış</t>
        </is>
      </c>
      <c r="M1" s="6" t="inlineStr">
        <is>
          <t>Gram Altın Satış</t>
        </is>
      </c>
      <c r="N1" s="6" t="inlineStr">
        <is>
          <t>Gram Altın Makas</t>
        </is>
      </c>
      <c r="O1" s="6" t="inlineStr">
        <is>
          <t>Gram Altın Makas %</t>
        </is>
      </c>
    </row>
    <row r="2">
      <c r="A2" s="9" t="n">
        <v>46262</v>
      </c>
      <c r="B2" s="10" t="n">
        <v>0.5570949074074074</v>
      </c>
      <c r="C2" t="inlineStr">
        <is>
          <t>Akbank</t>
        </is>
      </c>
      <c r="D2" s="11" t="n">
        <v>47.354</v>
      </c>
      <c r="E2" s="11" t="n">
        <v>48.704</v>
      </c>
      <c r="F2" s="11">
        <f>IF(OR(D2="",E2=""),"",E2-D2)</f>
        <v/>
      </c>
      <c r="G2" s="12">
        <f>IFERROR(F2/D2,"")</f>
        <v/>
      </c>
      <c r="H2" s="11" t="n">
        <v>55.1299</v>
      </c>
      <c r="I2" s="11" t="n">
        <v>56.7016</v>
      </c>
      <c r="J2" s="11">
        <f>IF(OR(H2="",I2=""),"",I2-H2)</f>
        <v/>
      </c>
      <c r="K2" s="12">
        <f>IFERROR(J2/H2,"")</f>
        <v/>
      </c>
      <c r="L2" s="11" t="n">
        <v>6943.27</v>
      </c>
      <c r="M2" s="11" t="n">
        <v>7194.86</v>
      </c>
      <c r="N2" s="11">
        <f>IF(OR(L2="",M2=""),"",M2-L2)</f>
        <v/>
      </c>
      <c r="O2" s="12">
        <f>IFERROR(N2/L2,"")</f>
        <v/>
      </c>
    </row>
    <row r="3">
      <c r="A3" s="9" t="n">
        <v>46262</v>
      </c>
      <c r="B3" s="10" t="n">
        <v>0.5570949074074074</v>
      </c>
      <c r="C3" t="inlineStr">
        <is>
          <t>Albaraka Türk</t>
        </is>
      </c>
      <c r="D3" s="11" t="n">
        <v>47.845</v>
      </c>
      <c r="E3" s="11" t="n">
        <v>48.625</v>
      </c>
      <c r="F3" s="11">
        <f>IF(OR(D3="",E3=""),"",E3-D3)</f>
        <v/>
      </c>
      <c r="G3" s="12">
        <f>IFERROR(F3/D3,"")</f>
        <v/>
      </c>
      <c r="H3" s="11" t="n">
        <v>55.696</v>
      </c>
      <c r="I3" s="11" t="n">
        <v>56.61</v>
      </c>
      <c r="J3" s="11">
        <f>IF(OR(H3="",I3=""),"",I3-H3)</f>
        <v/>
      </c>
      <c r="K3" s="12">
        <f>IFERROR(J3/H3,"")</f>
        <v/>
      </c>
      <c r="L3" s="11" t="n">
        <v>7033.82</v>
      </c>
      <c r="M3" s="11" t="n">
        <v>7178.15</v>
      </c>
      <c r="N3" s="11">
        <f>IF(OR(L3="",M3=""),"",M3-L3)</f>
        <v/>
      </c>
      <c r="O3" s="12">
        <f>IFERROR(N3/L3,"")</f>
        <v/>
      </c>
    </row>
    <row r="4">
      <c r="A4" s="9" t="n">
        <v>46262</v>
      </c>
      <c r="B4" s="10" t="n">
        <v>0.5570949074074074</v>
      </c>
      <c r="C4" t="inlineStr">
        <is>
          <t>Alternatif Bank</t>
        </is>
      </c>
      <c r="D4" s="11" t="n">
        <v>48.028</v>
      </c>
      <c r="E4" s="11" t="n">
        <v>48.322</v>
      </c>
      <c r="F4" s="11">
        <f>IF(OR(D4="",E4=""),"",E4-D4)</f>
        <v/>
      </c>
      <c r="G4" s="12">
        <f>IFERROR(F4/D4,"")</f>
        <v/>
      </c>
      <c r="H4" s="11" t="n">
        <v>55.742</v>
      </c>
      <c r="I4" s="11" t="n">
        <v>56.26</v>
      </c>
      <c r="J4" s="11">
        <f>IF(OR(H4="",I4=""),"",I4-H4)</f>
        <v/>
      </c>
      <c r="K4" s="12">
        <f>IFERROR(J4/H4,"")</f>
        <v/>
      </c>
      <c r="L4" s="11" t="n">
        <v>7105.59</v>
      </c>
      <c r="M4" s="11" t="n">
        <v>7177.87</v>
      </c>
      <c r="N4" s="11">
        <f>IF(OR(L4="",M4=""),"",M4-L4)</f>
        <v/>
      </c>
      <c r="O4" s="12">
        <f>IFERROR(N4/L4,"")</f>
        <v/>
      </c>
    </row>
    <row r="5">
      <c r="A5" s="9" t="n">
        <v>46262</v>
      </c>
      <c r="B5" s="10" t="n">
        <v>0.5570949074074074</v>
      </c>
      <c r="C5" t="inlineStr">
        <is>
          <t>Altınkaynak</t>
        </is>
      </c>
      <c r="D5" s="11" t="n">
        <v>47.971</v>
      </c>
      <c r="E5" s="11" t="n">
        <v>48.17</v>
      </c>
      <c r="F5" s="11">
        <f>IF(OR(D5="",E5=""),"",E5-D5)</f>
        <v/>
      </c>
      <c r="G5" s="12">
        <f>IFERROR(F5/D5,"")</f>
        <v/>
      </c>
      <c r="H5" s="11" t="n">
        <v>55.731</v>
      </c>
      <c r="I5" s="11" t="n">
        <v>56.075</v>
      </c>
      <c r="J5" s="11">
        <f>IF(OR(H5="",I5=""),"",I5-H5)</f>
        <v/>
      </c>
      <c r="K5" s="12">
        <f>IFERROR(J5/H5,"")</f>
        <v/>
      </c>
      <c r="L5" s="11" t="n">
        <v>6998.3</v>
      </c>
      <c r="M5" s="11" t="n">
        <v>7175</v>
      </c>
      <c r="N5" s="11">
        <f>IF(OR(L5="",M5=""),"",M5-L5)</f>
        <v/>
      </c>
      <c r="O5" s="12">
        <f>IFERROR(N5/L5,"")</f>
        <v/>
      </c>
    </row>
    <row r="6">
      <c r="A6" s="9" t="n">
        <v>46262</v>
      </c>
      <c r="B6" s="10" t="n">
        <v>0.5570949074074074</v>
      </c>
      <c r="C6" t="inlineStr">
        <is>
          <t>Anadolubank</t>
        </is>
      </c>
      <c r="D6" s="11" t="n">
        <v>47.3126</v>
      </c>
      <c r="E6" s="11" t="n">
        <v>48.5892</v>
      </c>
      <c r="F6" s="11">
        <f>IF(OR(D6="",E6=""),"",E6-D6)</f>
        <v/>
      </c>
      <c r="G6" s="12">
        <f>IFERROR(F6/D6,"")</f>
        <v/>
      </c>
      <c r="H6" s="11" t="n">
        <v>55.1726</v>
      </c>
      <c r="I6" s="11" t="n">
        <v>56.5438</v>
      </c>
      <c r="J6" s="11">
        <f>IF(OR(H6="",I6=""),"",I6-H6)</f>
        <v/>
      </c>
      <c r="K6" s="12">
        <f>IFERROR(J6/H6,"")</f>
        <v/>
      </c>
      <c r="L6" s="11" t="n">
        <v>7005.31</v>
      </c>
      <c r="M6" s="11" t="n">
        <v>7164.08</v>
      </c>
      <c r="N6" s="11">
        <f>IF(OR(L6="",M6=""),"",M6-L6)</f>
        <v/>
      </c>
      <c r="O6" s="12">
        <f>IFERROR(N6/L6,"")</f>
        <v/>
      </c>
    </row>
    <row r="7">
      <c r="A7" s="9" t="n">
        <v>46262</v>
      </c>
      <c r="B7" s="10" t="n">
        <v>0.5570949074074074</v>
      </c>
      <c r="C7" t="inlineStr">
        <is>
          <t>CEPTETEB</t>
        </is>
      </c>
      <c r="D7" s="11" t="n">
        <v>47.166</v>
      </c>
      <c r="E7" s="11" t="n">
        <v>49.084</v>
      </c>
      <c r="F7" s="11">
        <f>IF(OR(D7="",E7=""),"",E7-D7)</f>
        <v/>
      </c>
      <c r="G7" s="12">
        <f>IFERROR(F7/D7,"")</f>
        <v/>
      </c>
      <c r="H7" s="11" t="n">
        <v>54.901</v>
      </c>
      <c r="I7" s="11" t="n">
        <v>57.143</v>
      </c>
      <c r="J7" s="11">
        <f>IF(OR(H7="",I7=""),"",I7-H7)</f>
        <v/>
      </c>
      <c r="K7" s="12">
        <f>IFERROR(J7/H7,"")</f>
        <v/>
      </c>
      <c r="L7" s="11" t="n">
        <v>7009.17</v>
      </c>
      <c r="M7" s="11" t="n">
        <v>7203.12</v>
      </c>
      <c r="N7" s="11">
        <f>IF(OR(L7="",M7=""),"",M7-L7)</f>
        <v/>
      </c>
      <c r="O7" s="12">
        <f>IFERROR(N7/L7,"")</f>
        <v/>
      </c>
    </row>
    <row r="8">
      <c r="A8" s="9" t="n">
        <v>46262</v>
      </c>
      <c r="B8" s="10" t="n">
        <v>0.5570949074074074</v>
      </c>
      <c r="C8" t="inlineStr">
        <is>
          <t>Denizbank</t>
        </is>
      </c>
      <c r="D8" s="11" t="n">
        <v>47.4203</v>
      </c>
      <c r="E8" s="11" t="n">
        <v>48.8204</v>
      </c>
      <c r="F8" s="11">
        <f>IF(OR(D8="",E8=""),"",E8-D8)</f>
        <v/>
      </c>
      <c r="G8" s="12">
        <f>IFERROR(F8/D8,"")</f>
        <v/>
      </c>
      <c r="H8" s="11" t="n">
        <v>55.1945</v>
      </c>
      <c r="I8" s="11" t="n">
        <v>56.8241</v>
      </c>
      <c r="J8" s="11">
        <f>IF(OR(H8="",I8=""),"",I8-H8)</f>
        <v/>
      </c>
      <c r="K8" s="12">
        <f>IFERROR(J8/H8,"")</f>
        <v/>
      </c>
      <c r="L8" s="11" t="n">
        <v>7019.29</v>
      </c>
      <c r="M8" s="11" t="n">
        <v>7227.61</v>
      </c>
      <c r="N8" s="11">
        <f>IF(OR(L8="",M8=""),"",M8-L8)</f>
        <v/>
      </c>
      <c r="O8" s="12">
        <f>IFERROR(N8/L8,"")</f>
        <v/>
      </c>
    </row>
    <row r="9">
      <c r="A9" s="9" t="n">
        <v>46262</v>
      </c>
      <c r="B9" s="10" t="n">
        <v>0.5570949074074074</v>
      </c>
      <c r="C9" t="inlineStr">
        <is>
          <t>DestekBank</t>
        </is>
      </c>
      <c r="D9" s="11" t="n">
        <v>48.0771</v>
      </c>
      <c r="E9" s="11" t="n">
        <v>48.1462</v>
      </c>
      <c r="F9" s="11">
        <f>IF(OR(D9="",E9=""),"",E9-D9)</f>
        <v/>
      </c>
      <c r="G9" s="12">
        <f>IFERROR(F9/D9,"")</f>
        <v/>
      </c>
      <c r="H9" s="11" t="n">
        <v>55.9461</v>
      </c>
      <c r="I9" s="11" t="n">
        <v>56.0434</v>
      </c>
      <c r="J9" s="11">
        <f>IF(OR(H9="",I9=""),"",I9-H9)</f>
        <v/>
      </c>
      <c r="K9" s="12">
        <f>IFERROR(J9/H9,"")</f>
        <v/>
      </c>
      <c r="L9" s="11" t="n">
        <v>7066.85</v>
      </c>
      <c r="M9" s="11" t="n">
        <v>7097.86</v>
      </c>
      <c r="N9" s="11">
        <f>IF(OR(L9="",M9=""),"",M9-L9)</f>
        <v/>
      </c>
      <c r="O9" s="12">
        <f>IFERROR(N9/L9,"")</f>
        <v/>
      </c>
    </row>
    <row r="10">
      <c r="A10" s="9" t="n">
        <v>46262</v>
      </c>
      <c r="B10" s="10" t="n">
        <v>0.5570949074074074</v>
      </c>
      <c r="C10" t="inlineStr">
        <is>
          <t>Dünya Katılım</t>
        </is>
      </c>
      <c r="D10" s="11" t="n">
        <v>48.0984</v>
      </c>
      <c r="E10" s="11" t="n">
        <v>48.1369</v>
      </c>
      <c r="F10" s="11">
        <f>IF(OR(D10="",E10=""),"",E10-D10)</f>
        <v/>
      </c>
      <c r="G10" s="12">
        <f>IFERROR(F10/D10,"")</f>
        <v/>
      </c>
      <c r="H10" s="11" t="n">
        <v>55.9328</v>
      </c>
      <c r="I10" s="11" t="n">
        <v>56.0473</v>
      </c>
      <c r="J10" s="11">
        <f>IF(OR(H10="",I10=""),"",I10-H10)</f>
        <v/>
      </c>
      <c r="K10" s="12">
        <f>IFERROR(J10/H10,"")</f>
        <v/>
      </c>
      <c r="L10" s="11" t="n">
        <v>7068.4</v>
      </c>
      <c r="M10" s="11" t="n">
        <v>7102.54</v>
      </c>
      <c r="N10" s="11">
        <f>IF(OR(L10="",M10=""),"",M10-L10)</f>
        <v/>
      </c>
      <c r="O10" s="12">
        <f>IFERROR(N10/L10,"")</f>
        <v/>
      </c>
    </row>
    <row r="11">
      <c r="A11" s="9" t="n">
        <v>46262</v>
      </c>
      <c r="B11" s="10" t="n">
        <v>0.5570949074074074</v>
      </c>
      <c r="C11" t="inlineStr">
        <is>
          <t>Emlak Katılım</t>
        </is>
      </c>
      <c r="D11" s="11" t="n">
        <v>47.7827</v>
      </c>
      <c r="E11" s="11" t="n">
        <v>49.0179</v>
      </c>
      <c r="F11" s="11">
        <f>IF(OR(D11="",E11=""),"",E11-D11)</f>
        <v/>
      </c>
      <c r="G11" s="12">
        <f>IFERROR(F11/D11,"")</f>
        <v/>
      </c>
      <c r="H11" s="11" t="n">
        <v>55.5196</v>
      </c>
      <c r="I11" s="11" t="n">
        <v>56.7975</v>
      </c>
      <c r="J11" s="11">
        <f>IF(OR(H11="",I11=""),"",I11-H11)</f>
        <v/>
      </c>
      <c r="K11" s="12">
        <f>IFERROR(J11/H11,"")</f>
        <v/>
      </c>
      <c r="L11" s="11" t="n">
        <v>7039.49</v>
      </c>
      <c r="M11" s="11" t="n">
        <v>7154.33</v>
      </c>
      <c r="N11" s="11">
        <f>IF(OR(L11="",M11=""),"",M11-L11)</f>
        <v/>
      </c>
      <c r="O11" s="12">
        <f>IFERROR(N11/L11,"")</f>
        <v/>
      </c>
    </row>
    <row r="12">
      <c r="A12" s="9" t="n">
        <v>46262</v>
      </c>
      <c r="B12" s="10" t="n">
        <v>0.5570949074074074</v>
      </c>
      <c r="C12" t="inlineStr">
        <is>
          <t>Enpara</t>
        </is>
      </c>
      <c r="D12" s="11" t="n">
        <v>47.795</v>
      </c>
      <c r="E12" s="11" t="n">
        <v>48.645</v>
      </c>
      <c r="F12" s="11">
        <f>IF(OR(D12="",E12=""),"",E12-D12)</f>
        <v/>
      </c>
      <c r="G12" s="12">
        <f>IFERROR(F12/D12,"")</f>
        <v/>
      </c>
      <c r="H12" s="11" t="n">
        <v>55.5499</v>
      </c>
      <c r="I12" s="11" t="n">
        <v>56.7126</v>
      </c>
      <c r="J12" s="11">
        <f>IF(OR(H12="",I12=""),"",I12-H12)</f>
        <v/>
      </c>
      <c r="K12" s="12">
        <f>IFERROR(J12/H12,"")</f>
        <v/>
      </c>
      <c r="L12" s="11" t="n">
        <v>7028.87</v>
      </c>
      <c r="M12" s="11" t="n">
        <v>7191.97</v>
      </c>
      <c r="N12" s="11">
        <f>IF(OR(L12="",M12=""),"",M12-L12)</f>
        <v/>
      </c>
      <c r="O12" s="12">
        <f>IFERROR(N12/L12,"")</f>
        <v/>
      </c>
    </row>
    <row r="13">
      <c r="A13" s="9" t="n">
        <v>46262</v>
      </c>
      <c r="B13" s="10" t="n">
        <v>0.5570949074074074</v>
      </c>
      <c r="C13" t="inlineStr">
        <is>
          <t>Fibabanka</t>
        </is>
      </c>
      <c r="D13" s="11" t="n">
        <v>47.8481</v>
      </c>
      <c r="E13" s="11" t="n">
        <v>48.4682</v>
      </c>
      <c r="F13" s="11">
        <f>IF(OR(D13="",E13=""),"",E13-D13)</f>
        <v/>
      </c>
      <c r="G13" s="12">
        <f>IFERROR(F13/D13,"")</f>
        <v/>
      </c>
      <c r="H13" s="11" t="n">
        <v>55.7163</v>
      </c>
      <c r="I13" s="11" t="n">
        <v>56.3944</v>
      </c>
      <c r="J13" s="11">
        <f>IF(OR(H13="",I13=""),"",I13-H13)</f>
        <v/>
      </c>
      <c r="K13" s="12">
        <f>IFERROR(J13/H13,"")</f>
        <v/>
      </c>
      <c r="L13" s="11" t="n">
        <v>7092.53</v>
      </c>
      <c r="M13" s="11" t="n">
        <v>7149.33</v>
      </c>
      <c r="N13" s="11">
        <f>IF(OR(L13="",M13=""),"",M13-L13)</f>
        <v/>
      </c>
      <c r="O13" s="12">
        <f>IFERROR(N13/L13,"")</f>
        <v/>
      </c>
    </row>
    <row r="14">
      <c r="A14" s="9" t="n">
        <v>46262</v>
      </c>
      <c r="B14" s="10" t="n">
        <v>0.5570949074074074</v>
      </c>
      <c r="C14" t="inlineStr">
        <is>
          <t>Garanti BBVA</t>
        </is>
      </c>
      <c r="D14" s="11" t="n">
        <v>47.315</v>
      </c>
      <c r="E14" s="11" t="n">
        <v>48.665</v>
      </c>
      <c r="F14" s="11">
        <f>IF(OR(D14="",E14=""),"",E14-D14)</f>
        <v/>
      </c>
      <c r="G14" s="12">
        <f>IFERROR(F14/D14,"")</f>
        <v/>
      </c>
      <c r="H14" s="11" t="n">
        <v>55.084</v>
      </c>
      <c r="I14" s="11" t="n">
        <v>56.656</v>
      </c>
      <c r="J14" s="11">
        <f>IF(OR(H14="",I14=""),"",I14-H14)</f>
        <v/>
      </c>
      <c r="K14" s="12">
        <f>IFERROR(J14/H14,"")</f>
        <v/>
      </c>
      <c r="L14" s="11" t="n">
        <v>6986.24</v>
      </c>
      <c r="M14" s="11" t="n">
        <v>7244.46</v>
      </c>
      <c r="N14" s="11">
        <f>IF(OR(L14="",M14=""),"",M14-L14)</f>
        <v/>
      </c>
      <c r="O14" s="12">
        <f>IFERROR(N14/L14,"")</f>
        <v/>
      </c>
    </row>
    <row r="15">
      <c r="A15" s="9" t="n">
        <v>46262</v>
      </c>
      <c r="B15" s="10" t="n">
        <v>0.5570949074074074</v>
      </c>
      <c r="C15" t="inlineStr">
        <is>
          <t>Getirfinans</t>
        </is>
      </c>
      <c r="D15" s="11" t="n">
        <v>47.8481</v>
      </c>
      <c r="E15" s="11" t="n">
        <v>48.4681</v>
      </c>
      <c r="F15" s="11">
        <f>IF(OR(D15="",E15=""),"",E15-D15)</f>
        <v/>
      </c>
      <c r="G15" s="12">
        <f>IFERROR(F15/D15,"")</f>
        <v/>
      </c>
      <c r="H15" s="11" t="n">
        <v>55.71</v>
      </c>
      <c r="I15" s="11" t="n">
        <v>56.3879</v>
      </c>
      <c r="J15" s="11">
        <f>IF(OR(H15="",I15=""),"",I15-H15)</f>
        <v/>
      </c>
      <c r="K15" s="12">
        <f>IFERROR(J15/H15,"")</f>
        <v/>
      </c>
      <c r="L15" s="11" t="n">
        <v>7091.41</v>
      </c>
      <c r="M15" s="11" t="n">
        <v>7147.85</v>
      </c>
      <c r="N15" s="11">
        <f>IF(OR(L15="",M15=""),"",M15-L15)</f>
        <v/>
      </c>
      <c r="O15" s="12">
        <f>IFERROR(N15/L15,"")</f>
        <v/>
      </c>
    </row>
    <row r="16">
      <c r="A16" s="9" t="n">
        <v>46262</v>
      </c>
      <c r="B16" s="10" t="n">
        <v>0.5570949074074074</v>
      </c>
      <c r="C16" t="inlineStr">
        <is>
          <t>Halkbank</t>
        </is>
      </c>
      <c r="D16" s="11" t="n">
        <v>47.725</v>
      </c>
      <c r="E16" s="11" t="n">
        <v>48.705</v>
      </c>
      <c r="F16" s="11">
        <f>IF(OR(D16="",E16=""),"",E16-D16)</f>
        <v/>
      </c>
      <c r="G16" s="12">
        <f>IFERROR(F16/D16,"")</f>
        <v/>
      </c>
      <c r="H16" s="11" t="n">
        <v>55.5614</v>
      </c>
      <c r="I16" s="11" t="n">
        <v>56.7024</v>
      </c>
      <c r="J16" s="11">
        <f>IF(OR(H16="",I16=""),"",I16-H16)</f>
        <v/>
      </c>
      <c r="K16" s="12">
        <f>IFERROR(J16/H16,"")</f>
        <v/>
      </c>
      <c r="L16" s="11" t="n">
        <v>7021.06</v>
      </c>
      <c r="M16" s="11" t="n">
        <v>7237.17</v>
      </c>
      <c r="N16" s="11">
        <f>IF(OR(L16="",M16=""),"",M16-L16)</f>
        <v/>
      </c>
      <c r="O16" s="12">
        <f>IFERROR(N16/L16,"")</f>
        <v/>
      </c>
    </row>
    <row r="17">
      <c r="A17" s="9" t="n">
        <v>46262</v>
      </c>
      <c r="B17" s="10" t="n">
        <v>0.5570949074074074</v>
      </c>
      <c r="C17" t="inlineStr">
        <is>
          <t>Harem</t>
        </is>
      </c>
      <c r="D17" s="11" t="n">
        <v>48.0408</v>
      </c>
      <c r="E17" s="11" t="n">
        <v>48.1248</v>
      </c>
      <c r="F17" s="11">
        <f>IF(OR(D17="",E17=""),"",E17-D17)</f>
        <v/>
      </c>
      <c r="G17" s="12">
        <f>IFERROR(F17/D17,"")</f>
        <v/>
      </c>
      <c r="H17" s="11" t="n">
        <v>55.791</v>
      </c>
      <c r="I17" s="11" t="n">
        <v>55.979</v>
      </c>
      <c r="J17" s="11">
        <f>IF(OR(H17="",I17=""),"",I17-H17)</f>
        <v/>
      </c>
      <c r="K17" s="12">
        <f>IFERROR(J17/H17,"")</f>
        <v/>
      </c>
      <c r="L17" s="11" t="n">
        <v>7036.2</v>
      </c>
      <c r="M17" s="11" t="n">
        <v>7110.18</v>
      </c>
      <c r="N17" s="11">
        <f>IF(OR(L17="",M17=""),"",M17-L17)</f>
        <v/>
      </c>
      <c r="O17" s="12">
        <f>IFERROR(N17/L17,"")</f>
        <v/>
      </c>
    </row>
    <row r="18">
      <c r="A18" s="9" t="n">
        <v>46262</v>
      </c>
      <c r="B18" s="10" t="n">
        <v>0.5570949074074074</v>
      </c>
      <c r="C18" t="inlineStr">
        <is>
          <t>Hayat Finans</t>
        </is>
      </c>
      <c r="D18" s="11" t="n">
        <v>48.0758</v>
      </c>
      <c r="E18" s="11" t="n">
        <v>48.3543</v>
      </c>
      <c r="F18" s="11">
        <f>IF(OR(D18="",E18=""),"",E18-D18)</f>
        <v/>
      </c>
      <c r="G18" s="12">
        <f>IFERROR(F18/D18,"")</f>
        <v/>
      </c>
      <c r="H18" s="11" t="n">
        <v>55.9603</v>
      </c>
      <c r="I18" s="11" t="n">
        <v>56.2846</v>
      </c>
      <c r="J18" s="11">
        <f>IF(OR(H18="",I18=""),"",I18-H18)</f>
        <v/>
      </c>
      <c r="K18" s="12">
        <f>IFERROR(J18/H18,"")</f>
        <v/>
      </c>
      <c r="L18" s="11" t="n">
        <v>7063.03</v>
      </c>
      <c r="M18" s="11" t="n">
        <v>7202.62</v>
      </c>
      <c r="N18" s="11">
        <f>IF(OR(L18="",M18=""),"",M18-L18)</f>
        <v/>
      </c>
      <c r="O18" s="12">
        <f>IFERROR(N18/L18,"")</f>
        <v/>
      </c>
    </row>
    <row r="19">
      <c r="A19" s="9" t="n">
        <v>46262</v>
      </c>
      <c r="B19" s="10" t="n">
        <v>0.5570949074074074</v>
      </c>
      <c r="C19" t="inlineStr">
        <is>
          <t>Hepsipay</t>
        </is>
      </c>
      <c r="D19" s="11" t="n"/>
      <c r="E19" s="11" t="n"/>
      <c r="F19" s="11" t="n"/>
      <c r="G19" s="12" t="n"/>
      <c r="H19" s="11" t="n"/>
      <c r="I19" s="11" t="n"/>
      <c r="J19" s="11" t="n"/>
      <c r="K19" s="12" t="n"/>
      <c r="L19" s="11" t="n">
        <v>7043.92</v>
      </c>
      <c r="M19" s="11" t="n">
        <v>7247.4</v>
      </c>
      <c r="N19" s="11">
        <f>IF(OR(L19="",M19=""),"",M19-L19)</f>
        <v/>
      </c>
      <c r="O19" s="12">
        <f>IFERROR(N19/L19,"")</f>
        <v/>
      </c>
    </row>
    <row r="20">
      <c r="A20" s="9" t="n">
        <v>46262</v>
      </c>
      <c r="B20" s="10" t="n">
        <v>0.5570949074074074</v>
      </c>
      <c r="C20" t="inlineStr">
        <is>
          <t>HSBC</t>
        </is>
      </c>
      <c r="D20" s="11" t="n">
        <v>47.6572</v>
      </c>
      <c r="E20" s="11" t="n">
        <v>48.5572</v>
      </c>
      <c r="F20" s="11">
        <f>IF(OR(D20="",E20=""),"",E20-D20)</f>
        <v/>
      </c>
      <c r="G20" s="12">
        <f>IFERROR(F20/D20,"")</f>
        <v/>
      </c>
      <c r="H20" s="11" t="n">
        <v>55.4777</v>
      </c>
      <c r="I20" s="11" t="n">
        <v>56.5449</v>
      </c>
      <c r="J20" s="11">
        <f>IF(OR(H20="",I20=""),"",I20-H20)</f>
        <v/>
      </c>
      <c r="K20" s="12">
        <f>IFERROR(J20/H20,"")</f>
        <v/>
      </c>
      <c r="L20" s="11" t="n">
        <v>7021.83</v>
      </c>
      <c r="M20" s="11" t="n">
        <v>7469.98</v>
      </c>
      <c r="N20" s="11">
        <f>IF(OR(L20="",M20=""),"",M20-L20)</f>
        <v/>
      </c>
      <c r="O20" s="12">
        <f>IFERROR(N20/L20,"")</f>
        <v/>
      </c>
    </row>
    <row r="21">
      <c r="A21" s="9" t="n">
        <v>46262</v>
      </c>
      <c r="B21" s="10" t="n">
        <v>0.5570949074074074</v>
      </c>
      <c r="C21" t="inlineStr">
        <is>
          <t>ING Bank</t>
        </is>
      </c>
      <c r="D21" s="11" t="n">
        <v>47.6091</v>
      </c>
      <c r="E21" s="11" t="n">
        <v>48.6147</v>
      </c>
      <c r="F21" s="11">
        <f>IF(OR(D21="",E21=""),"",E21-D21)</f>
        <v/>
      </c>
      <c r="G21" s="12">
        <f>IFERROR(F21/D21,"")</f>
        <v/>
      </c>
      <c r="H21" s="11" t="n">
        <v>55.4961</v>
      </c>
      <c r="I21" s="11" t="n">
        <v>56.5077</v>
      </c>
      <c r="J21" s="11">
        <f>IF(OR(H21="",I21=""),"",I21-H21)</f>
        <v/>
      </c>
      <c r="K21" s="12">
        <f>IFERROR(J21/H21,"")</f>
        <v/>
      </c>
      <c r="L21" s="11" t="n">
        <v>6993.62</v>
      </c>
      <c r="M21" s="11" t="n">
        <v>7246.14</v>
      </c>
      <c r="N21" s="11">
        <f>IF(OR(L21="",M21=""),"",M21-L21)</f>
        <v/>
      </c>
      <c r="O21" s="12">
        <f>IFERROR(N21/L21,"")</f>
        <v/>
      </c>
    </row>
    <row r="22">
      <c r="A22" s="9" t="n">
        <v>46262</v>
      </c>
      <c r="B22" s="10" t="n">
        <v>0.5570949074074074</v>
      </c>
      <c r="C22" t="inlineStr">
        <is>
          <t>İş Bankası</t>
        </is>
      </c>
      <c r="D22" s="11" t="n">
        <v>47.535</v>
      </c>
      <c r="E22" s="11" t="n">
        <v>48.6933</v>
      </c>
      <c r="F22" s="11">
        <f>IF(OR(D22="",E22=""),"",E22-D22)</f>
        <v/>
      </c>
      <c r="G22" s="12">
        <f>IFERROR(F22/D22,"")</f>
        <v/>
      </c>
      <c r="H22" s="11" t="n">
        <v>55.3259</v>
      </c>
      <c r="I22" s="11" t="n">
        <v>56.6789</v>
      </c>
      <c r="J22" s="11">
        <f>IF(OR(H22="",I22=""),"",I22-H22)</f>
        <v/>
      </c>
      <c r="K22" s="12">
        <f>IFERROR(J22/H22,"")</f>
        <v/>
      </c>
      <c r="L22" s="11" t="n">
        <v>7013.18</v>
      </c>
      <c r="M22" s="11" t="n">
        <v>7206.08</v>
      </c>
      <c r="N22" s="11">
        <f>IF(OR(L22="",M22=""),"",M22-L22)</f>
        <v/>
      </c>
      <c r="O22" s="12">
        <f>IFERROR(N22/L22,"")</f>
        <v/>
      </c>
    </row>
    <row r="23">
      <c r="A23" s="9" t="n">
        <v>46262</v>
      </c>
      <c r="B23" s="10" t="n">
        <v>0.5570949074074074</v>
      </c>
      <c r="C23" t="inlineStr">
        <is>
          <t>Kapalıçarşı</t>
        </is>
      </c>
      <c r="D23" s="11" t="n">
        <v>48.06</v>
      </c>
      <c r="E23" s="11" t="n">
        <v>48.07</v>
      </c>
      <c r="F23" s="11">
        <f>IF(OR(D23="",E23=""),"",E23-D23)</f>
        <v/>
      </c>
      <c r="G23" s="12">
        <f>IFERROR(F23/D23,"")</f>
        <v/>
      </c>
      <c r="H23" s="11" t="n">
        <v>55.85</v>
      </c>
      <c r="I23" s="11" t="n">
        <v>55.9</v>
      </c>
      <c r="J23" s="11">
        <f>IF(OR(H23="",I23=""),"",I23-H23)</f>
        <v/>
      </c>
      <c r="K23" s="12">
        <f>IFERROR(J23/H23,"")</f>
        <v/>
      </c>
      <c r="L23" s="11" t="n">
        <v>7085.83</v>
      </c>
      <c r="M23" s="11" t="n">
        <v>7092.14</v>
      </c>
      <c r="N23" s="11">
        <f>IF(OR(L23="",M23=""),"",M23-L23)</f>
        <v/>
      </c>
      <c r="O23" s="12">
        <f>IFERROR(N23/L23,"")</f>
        <v/>
      </c>
    </row>
    <row r="24">
      <c r="A24" s="9" t="n">
        <v>46262</v>
      </c>
      <c r="B24" s="10" t="n">
        <v>0.5570949074074074</v>
      </c>
      <c r="C24" t="inlineStr">
        <is>
          <t>Kuveyt Türk</t>
        </is>
      </c>
      <c r="D24" s="11" t="n">
        <v>47.4538</v>
      </c>
      <c r="E24" s="11" t="n">
        <v>48.4713</v>
      </c>
      <c r="F24" s="11">
        <f>IF(OR(D24="",E24=""),"",E24-D24)</f>
        <v/>
      </c>
      <c r="G24" s="12">
        <f>IFERROR(F24/D24,"")</f>
        <v/>
      </c>
      <c r="H24" s="11" t="n">
        <v>55.2381</v>
      </c>
      <c r="I24" s="11" t="n">
        <v>56.4231</v>
      </c>
      <c r="J24" s="11">
        <f>IF(OR(H24="",I24=""),"",I24-H24)</f>
        <v/>
      </c>
      <c r="K24" s="12">
        <f>IFERROR(J24/H24,"")</f>
        <v/>
      </c>
      <c r="L24" s="11" t="n">
        <v>6966.83</v>
      </c>
      <c r="M24" s="11" t="n">
        <v>7151.86</v>
      </c>
      <c r="N24" s="11">
        <f>IF(OR(L24="",M24=""),"",M24-L24)</f>
        <v/>
      </c>
      <c r="O24" s="12">
        <f>IFERROR(N24/L24,"")</f>
        <v/>
      </c>
    </row>
    <row r="25">
      <c r="A25" s="9" t="n">
        <v>46262</v>
      </c>
      <c r="B25" s="10" t="n">
        <v>0.5570949074074074</v>
      </c>
      <c r="C25" t="inlineStr">
        <is>
          <t>Merkez Bankası</t>
        </is>
      </c>
      <c r="D25" s="11" t="n">
        <v>48.0466</v>
      </c>
      <c r="E25" s="11" t="n">
        <v>48.1331</v>
      </c>
      <c r="F25" s="11">
        <f>IF(OR(D25="",E25=""),"",E25-D25)</f>
        <v/>
      </c>
      <c r="G25" s="12">
        <f>IFERROR(F25/D25,"")</f>
        <v/>
      </c>
      <c r="H25" s="11" t="n">
        <v>55.9574</v>
      </c>
      <c r="I25" s="11" t="n">
        <v>56.0582</v>
      </c>
      <c r="J25" s="11">
        <f>IF(OR(H25="",I25=""),"",I25-H25)</f>
        <v/>
      </c>
      <c r="K25" s="12">
        <f>IFERROR(J25/H25,"")</f>
        <v/>
      </c>
      <c r="L25" s="11" t="n"/>
      <c r="M25" s="11" t="n"/>
      <c r="N25" s="11" t="n"/>
      <c r="O25" s="12" t="n"/>
    </row>
    <row r="26">
      <c r="A26" s="9" t="n">
        <v>46262</v>
      </c>
      <c r="B26" s="10" t="n">
        <v>0.5570949074074074</v>
      </c>
      <c r="C26" t="inlineStr">
        <is>
          <t>Misyon Bank</t>
        </is>
      </c>
      <c r="D26" s="11" t="n">
        <v>48.0811</v>
      </c>
      <c r="E26" s="11" t="n">
        <v>48.1424</v>
      </c>
      <c r="F26" s="11">
        <f>IF(OR(D26="",E26=""),"",E26-D26)</f>
        <v/>
      </c>
      <c r="G26" s="12">
        <f>IFERROR(F26/D26,"")</f>
        <v/>
      </c>
      <c r="H26" s="11" t="n">
        <v>55.9505</v>
      </c>
      <c r="I26" s="11" t="n">
        <v>56.0404</v>
      </c>
      <c r="J26" s="11">
        <f>IF(OR(H26="",I26=""),"",I26-H26)</f>
        <v/>
      </c>
      <c r="K26" s="12">
        <f>IFERROR(J26/H26,"")</f>
        <v/>
      </c>
      <c r="L26" s="11" t="n">
        <v>7081.77</v>
      </c>
      <c r="M26" s="11" t="n">
        <v>7113.29</v>
      </c>
      <c r="N26" s="11">
        <f>IF(OR(L26="",M26=""),"",M26-L26)</f>
        <v/>
      </c>
      <c r="O26" s="12">
        <f>IFERROR(N26/L26,"")</f>
        <v/>
      </c>
    </row>
    <row r="27">
      <c r="A27" s="9" t="n">
        <v>46262</v>
      </c>
      <c r="B27" s="10" t="n">
        <v>0.5570949074074074</v>
      </c>
      <c r="C27" t="inlineStr">
        <is>
          <t>Odacı</t>
        </is>
      </c>
      <c r="D27" s="11" t="n">
        <v>48.05</v>
      </c>
      <c r="E27" s="11" t="n">
        <v>48.186</v>
      </c>
      <c r="F27" s="11">
        <f>IF(OR(D27="",E27=""),"",E27-D27)</f>
        <v/>
      </c>
      <c r="G27" s="12">
        <f>IFERROR(F27/D27,"")</f>
        <v/>
      </c>
      <c r="H27" s="11" t="n">
        <v>55.831</v>
      </c>
      <c r="I27" s="11" t="n">
        <v>56.034</v>
      </c>
      <c r="J27" s="11">
        <f>IF(OR(H27="",I27=""),"",I27-H27)</f>
        <v/>
      </c>
      <c r="K27" s="12">
        <f>IFERROR(J27/H27,"")</f>
        <v/>
      </c>
      <c r="L27" s="11" t="n">
        <v>7054</v>
      </c>
      <c r="M27" s="11" t="n">
        <v>7097</v>
      </c>
      <c r="N27" s="11">
        <f>IF(OR(L27="",M27=""),"",M27-L27)</f>
        <v/>
      </c>
      <c r="O27" s="12">
        <f>IFERROR(N27/L27,"")</f>
        <v/>
      </c>
    </row>
    <row r="28">
      <c r="A28" s="9" t="n">
        <v>46262</v>
      </c>
      <c r="B28" s="10" t="n">
        <v>0.5570949074074074</v>
      </c>
      <c r="C28" t="inlineStr">
        <is>
          <t>Odeabank</t>
        </is>
      </c>
      <c r="D28" s="11" t="n">
        <v>47.641</v>
      </c>
      <c r="E28" s="11" t="n">
        <v>48.641</v>
      </c>
      <c r="F28" s="11">
        <f>IF(OR(D28="",E28=""),"",E28-D28)</f>
        <v/>
      </c>
      <c r="G28" s="12">
        <f>IFERROR(F28/D28,"")</f>
        <v/>
      </c>
      <c r="H28" s="11" t="n">
        <v>55.491</v>
      </c>
      <c r="I28" s="11" t="n">
        <v>56.581</v>
      </c>
      <c r="J28" s="11">
        <f>IF(OR(H28="",I28=""),"",I28-H28)</f>
        <v/>
      </c>
      <c r="K28" s="12">
        <f>IFERROR(J28/H28,"")</f>
        <v/>
      </c>
      <c r="L28" s="11" t="n">
        <v>7082.06</v>
      </c>
      <c r="M28" s="11" t="n">
        <v>7182.06</v>
      </c>
      <c r="N28" s="11">
        <f>IF(OR(L28="",M28=""),"",M28-L28)</f>
        <v/>
      </c>
      <c r="O28" s="12">
        <f>IFERROR(N28/L28,"")</f>
        <v/>
      </c>
    </row>
    <row r="29">
      <c r="A29" s="9" t="n">
        <v>46262</v>
      </c>
      <c r="B29" s="10" t="n">
        <v>0.5570949074074074</v>
      </c>
      <c r="C29" t="inlineStr">
        <is>
          <t>Papara</t>
        </is>
      </c>
      <c r="D29" s="11" t="n"/>
      <c r="E29" s="11" t="n"/>
      <c r="F29" s="11" t="n"/>
      <c r="G29" s="12" t="n"/>
      <c r="H29" s="11" t="n"/>
      <c r="I29" s="11" t="n"/>
      <c r="J29" s="11" t="n"/>
      <c r="K29" s="12" t="n"/>
      <c r="L29" s="11" t="n">
        <v>7043.92</v>
      </c>
      <c r="M29" s="11" t="n">
        <v>7232.93</v>
      </c>
      <c r="N29" s="11">
        <f>IF(OR(L29="",M29=""),"",M29-L29)</f>
        <v/>
      </c>
      <c r="O29" s="12">
        <f>IFERROR(N29/L29,"")</f>
        <v/>
      </c>
    </row>
    <row r="30">
      <c r="A30" s="9" t="n">
        <v>46262</v>
      </c>
      <c r="B30" s="10" t="n">
        <v>0.5570949074074074</v>
      </c>
      <c r="C30" t="inlineStr">
        <is>
          <t>QNB Finansbank</t>
        </is>
      </c>
      <c r="D30" s="11" t="n">
        <v>47.505</v>
      </c>
      <c r="E30" s="11" t="n">
        <v>48.725</v>
      </c>
      <c r="F30" s="11">
        <f>IF(OR(D30="",E30=""),"",E30-D30)</f>
        <v/>
      </c>
      <c r="G30" s="12">
        <f>IFERROR(F30/D30,"")</f>
        <v/>
      </c>
      <c r="H30" s="11" t="n">
        <v>55.1797</v>
      </c>
      <c r="I30" s="11" t="n">
        <v>56.8399</v>
      </c>
      <c r="J30" s="11">
        <f>IF(OR(H30="",I30=""),"",I30-H30)</f>
        <v/>
      </c>
      <c r="K30" s="12">
        <f>IFERROR(J30/H30,"")</f>
        <v/>
      </c>
      <c r="L30" s="11" t="n">
        <v>6981.54</v>
      </c>
      <c r="M30" s="11" t="n">
        <v>7191.96</v>
      </c>
      <c r="N30" s="11">
        <f>IF(OR(L30="",M30=""),"",M30-L30)</f>
        <v/>
      </c>
      <c r="O30" s="12">
        <f>IFERROR(N30/L30,"")</f>
        <v/>
      </c>
    </row>
    <row r="31">
      <c r="A31" s="9" t="n">
        <v>46262</v>
      </c>
      <c r="B31" s="10" t="n">
        <v>0.5570949074074074</v>
      </c>
      <c r="C31" t="inlineStr">
        <is>
          <t>TOM Bank Hadi</t>
        </is>
      </c>
      <c r="D31" s="11" t="n">
        <v>48.1001</v>
      </c>
      <c r="E31" s="11" t="n">
        <v>48.3413</v>
      </c>
      <c r="F31" s="11">
        <f>IF(OR(D31="",E31=""),"",E31-D31)</f>
        <v/>
      </c>
      <c r="G31" s="12">
        <f>IFERROR(F31/D31,"")</f>
        <v/>
      </c>
      <c r="H31" s="11" t="n">
        <v>55.9358</v>
      </c>
      <c r="I31" s="11" t="n">
        <v>56.2728</v>
      </c>
      <c r="J31" s="11">
        <f>IF(OR(H31="",I31=""),"",I31-H31)</f>
        <v/>
      </c>
      <c r="K31" s="12">
        <f>IFERROR(J31/H31,"")</f>
        <v/>
      </c>
      <c r="L31" s="11" t="n">
        <v>6981.88</v>
      </c>
      <c r="M31" s="11" t="n">
        <v>7124.01</v>
      </c>
      <c r="N31" s="11">
        <f>IF(OR(L31="",M31=""),"",M31-L31)</f>
        <v/>
      </c>
      <c r="O31" s="12">
        <f>IFERROR(N31/L31,"")</f>
        <v/>
      </c>
    </row>
    <row r="32">
      <c r="A32" s="9" t="n">
        <v>46262</v>
      </c>
      <c r="B32" s="10" t="n">
        <v>0.5570949074074074</v>
      </c>
      <c r="C32" t="inlineStr">
        <is>
          <t>Türkiye Finans</t>
        </is>
      </c>
      <c r="D32" s="11" t="n">
        <v>47.7074</v>
      </c>
      <c r="E32" s="11" t="n">
        <v>48.5152</v>
      </c>
      <c r="F32" s="11">
        <f>IF(OR(D32="",E32=""),"",E32-D32)</f>
        <v/>
      </c>
      <c r="G32" s="12">
        <f>IFERROR(F32/D32,"")</f>
        <v/>
      </c>
      <c r="H32" s="11" t="n">
        <v>55.569</v>
      </c>
      <c r="I32" s="11" t="n">
        <v>56.4279</v>
      </c>
      <c r="J32" s="11">
        <f>IF(OR(H32="",I32=""),"",I32-H32)</f>
        <v/>
      </c>
      <c r="K32" s="12">
        <f>IFERROR(J32/H32,"")</f>
        <v/>
      </c>
      <c r="L32" s="11" t="n">
        <v>7023.07</v>
      </c>
      <c r="M32" s="11" t="n">
        <v>7220.82</v>
      </c>
      <c r="N32" s="11">
        <f>IF(OR(L32="",M32=""),"",M32-L32)</f>
        <v/>
      </c>
      <c r="O32" s="12">
        <f>IFERROR(N32/L32,"")</f>
        <v/>
      </c>
    </row>
    <row r="33">
      <c r="A33" s="9" t="n">
        <v>46262</v>
      </c>
      <c r="B33" s="10" t="n">
        <v>0.5570949074074074</v>
      </c>
      <c r="C33" t="inlineStr">
        <is>
          <t>Vakıf Katılım</t>
        </is>
      </c>
      <c r="D33" s="11" t="n">
        <v>48.0171</v>
      </c>
      <c r="E33" s="11" t="n">
        <v>48.2197</v>
      </c>
      <c r="F33" s="11">
        <f>IF(OR(D33="",E33=""),"",E33-D33)</f>
        <v/>
      </c>
      <c r="G33" s="12">
        <f>IFERROR(F33/D33,"")</f>
        <v/>
      </c>
      <c r="H33" s="11" t="n">
        <v>55.8879</v>
      </c>
      <c r="I33" s="11" t="n">
        <v>56.1131</v>
      </c>
      <c r="J33" s="11">
        <f>IF(OR(H33="",I33=""),"",I33-H33)</f>
        <v/>
      </c>
      <c r="K33" s="12">
        <f>IFERROR(J33/H33,"")</f>
        <v/>
      </c>
      <c r="L33" s="11" t="n">
        <v>7058.1</v>
      </c>
      <c r="M33" s="11" t="n">
        <v>7114.79</v>
      </c>
      <c r="N33" s="11">
        <f>IF(OR(L33="",M33=""),"",M33-L33)</f>
        <v/>
      </c>
      <c r="O33" s="12">
        <f>IFERROR(N33/L33,"")</f>
        <v/>
      </c>
    </row>
    <row r="34">
      <c r="A34" s="9" t="n">
        <v>46262</v>
      </c>
      <c r="B34" s="10" t="n">
        <v>0.5570949074074074</v>
      </c>
      <c r="C34" t="inlineStr">
        <is>
          <t>Vakıfbank</t>
        </is>
      </c>
      <c r="D34" s="11" t="n">
        <v>47.7422</v>
      </c>
      <c r="E34" s="11" t="n">
        <v>48.7032</v>
      </c>
      <c r="F34" s="11">
        <f>IF(OR(D34="",E34=""),"",E34-D34)</f>
        <v/>
      </c>
      <c r="G34" s="12">
        <f>IFERROR(F34/D34,"")</f>
        <v/>
      </c>
      <c r="H34" s="11" t="n">
        <v>55.6038</v>
      </c>
      <c r="I34" s="11" t="n">
        <v>56.7169</v>
      </c>
      <c r="J34" s="11">
        <f>IF(OR(H34="",I34=""),"",I34-H34)</f>
        <v/>
      </c>
      <c r="K34" s="12">
        <f>IFERROR(J34/H34,"")</f>
        <v/>
      </c>
      <c r="L34" s="11" t="n">
        <v>7041.26</v>
      </c>
      <c r="M34" s="11" t="n">
        <v>7185.86</v>
      </c>
      <c r="N34" s="11">
        <f>IF(OR(L34="",M34=""),"",M34-L34)</f>
        <v/>
      </c>
      <c r="O34" s="12">
        <f>IFERROR(N34/L34,"")</f>
        <v/>
      </c>
    </row>
    <row r="35">
      <c r="A35" s="9" t="n">
        <v>46262</v>
      </c>
      <c r="B35" s="10" t="n">
        <v>0.5570949074074074</v>
      </c>
      <c r="C35" t="inlineStr">
        <is>
          <t>Venüs</t>
        </is>
      </c>
      <c r="D35" s="11" t="n">
        <v>48.042</v>
      </c>
      <c r="E35" s="11" t="n">
        <v>48.115</v>
      </c>
      <c r="F35" s="11">
        <f>IF(OR(D35="",E35=""),"",E35-D35)</f>
        <v/>
      </c>
      <c r="G35" s="12">
        <f>IFERROR(F35/D35,"")</f>
        <v/>
      </c>
      <c r="H35" s="11" t="n">
        <v>55.801</v>
      </c>
      <c r="I35" s="11" t="n">
        <v>55.972</v>
      </c>
      <c r="J35" s="11">
        <f>IF(OR(H35="",I35=""),"",I35-H35)</f>
        <v/>
      </c>
      <c r="K35" s="12">
        <f>IFERROR(J35/H35,"")</f>
        <v/>
      </c>
      <c r="L35" s="11" t="n"/>
      <c r="M35" s="11" t="n"/>
      <c r="N35" s="11" t="n"/>
      <c r="O35" s="12" t="n"/>
    </row>
    <row r="36">
      <c r="A36" s="9" t="n">
        <v>46262</v>
      </c>
      <c r="B36" s="10" t="n">
        <v>0.5570949074074074</v>
      </c>
      <c r="C36" t="inlineStr">
        <is>
          <t>Yapıkredi</t>
        </is>
      </c>
      <c r="D36" s="11" t="n">
        <v>47.56</v>
      </c>
      <c r="E36" s="11" t="n">
        <v>48.57</v>
      </c>
      <c r="F36" s="11">
        <f>IF(OR(D36="",E36=""),"",E36-D36)</f>
        <v/>
      </c>
      <c r="G36" s="12">
        <f>IFERROR(F36/D36,"")</f>
        <v/>
      </c>
      <c r="H36" s="11" t="n">
        <v>55.38</v>
      </c>
      <c r="I36" s="11" t="n">
        <v>56.52</v>
      </c>
      <c r="J36" s="11">
        <f>IF(OR(H36="",I36=""),"",I36-H36)</f>
        <v/>
      </c>
      <c r="K36" s="12">
        <f>IFERROR(J36/H36,"")</f>
        <v/>
      </c>
      <c r="L36" s="11" t="n">
        <v>7009.19</v>
      </c>
      <c r="M36" s="11" t="n">
        <v>7215.39</v>
      </c>
      <c r="N36" s="11">
        <f>IF(OR(L36="",M36=""),"",M36-L36)</f>
        <v/>
      </c>
      <c r="O36" s="12">
        <f>IFERROR(N36/L36,"")</f>
        <v/>
      </c>
    </row>
    <row r="37">
      <c r="A37" s="9" t="n">
        <v>46262</v>
      </c>
      <c r="B37" s="10" t="n">
        <v>0.5570949074074074</v>
      </c>
      <c r="C37" t="inlineStr">
        <is>
          <t>Ziraat Bankası</t>
        </is>
      </c>
      <c r="D37" s="11" t="n">
        <v>47.7541</v>
      </c>
      <c r="E37" s="11" t="n">
        <v>48.7201</v>
      </c>
      <c r="F37" s="11">
        <f>IF(OR(D37="",E37=""),"",E37-D37)</f>
        <v/>
      </c>
      <c r="G37" s="12">
        <f>IFERROR(F37/D37,"")</f>
        <v/>
      </c>
      <c r="H37" s="11" t="n">
        <v>55.5758</v>
      </c>
      <c r="I37" s="11" t="n">
        <v>56.7001</v>
      </c>
      <c r="J37" s="11">
        <f>IF(OR(H37="",I37=""),"",I37-H37)</f>
        <v/>
      </c>
      <c r="K37" s="12">
        <f>IFERROR(J37/H37,"")</f>
        <v/>
      </c>
      <c r="L37" s="11" t="n">
        <v>7078.33</v>
      </c>
      <c r="M37" s="11" t="n">
        <v>7221.25</v>
      </c>
      <c r="N37" s="11">
        <f>IF(OR(L37="",M37=""),"",M37-L37)</f>
        <v/>
      </c>
      <c r="O37" s="12">
        <f>IFERROR(N37/L37,"")</f>
        <v/>
      </c>
    </row>
    <row r="38">
      <c r="A38" s="9" t="n">
        <v>46262</v>
      </c>
      <c r="B38" s="10" t="n">
        <v>0.5570949074074074</v>
      </c>
      <c r="C38" t="inlineStr">
        <is>
          <t>Ziraat Dinamik</t>
        </is>
      </c>
      <c r="D38" s="11" t="n">
        <v>47.8019</v>
      </c>
      <c r="E38" s="11" t="n">
        <v>48.4521</v>
      </c>
      <c r="F38" s="11">
        <f>IF(OR(D38="",E38=""),"",E38-D38)</f>
        <v/>
      </c>
      <c r="G38" s="12">
        <f>IFERROR(F38/D38,"")</f>
        <v/>
      </c>
      <c r="H38" s="11" t="n">
        <v>55.5796</v>
      </c>
      <c r="I38" s="11" t="n">
        <v>56.392</v>
      </c>
      <c r="J38" s="11">
        <f>IF(OR(H38="",I38=""),"",I38-H38)</f>
        <v/>
      </c>
      <c r="K38" s="12">
        <f>IFERROR(J38/H38,"")</f>
        <v/>
      </c>
      <c r="L38" s="11" t="n">
        <v>7038.97</v>
      </c>
      <c r="M38" s="11" t="n">
        <v>7181.1</v>
      </c>
      <c r="N38" s="11">
        <f>IF(OR(L38="",M38=""),"",M38-L38)</f>
        <v/>
      </c>
      <c r="O38" s="12">
        <f>IFERROR(N38/L38,"")</f>
        <v/>
      </c>
    </row>
    <row r="39">
      <c r="A39" s="9" t="n">
        <v>46262</v>
      </c>
      <c r="B39" s="10" t="n">
        <v>0.5570949074074074</v>
      </c>
      <c r="C39" t="inlineStr">
        <is>
          <t>Ziraat Katılım</t>
        </is>
      </c>
      <c r="D39" s="11" t="n">
        <v>47.7169</v>
      </c>
      <c r="E39" s="11" t="n">
        <v>48.7128</v>
      </c>
      <c r="F39" s="11">
        <f>IF(OR(D39="",E39=""),"",E39-D39)</f>
        <v/>
      </c>
      <c r="G39" s="12">
        <f>IFERROR(F39/D39,"")</f>
        <v/>
      </c>
      <c r="H39" s="11" t="n">
        <v>55.5095</v>
      </c>
      <c r="I39" s="11" t="n">
        <v>56.7236</v>
      </c>
      <c r="J39" s="11">
        <f>IF(OR(H39="",I39=""),"",I39-H39)</f>
        <v/>
      </c>
      <c r="K39" s="12">
        <f>IFERROR(J39/H39,"")</f>
        <v/>
      </c>
      <c r="L39" s="11" t="n">
        <v>7061.18</v>
      </c>
      <c r="M39" s="11" t="n">
        <v>7285.19</v>
      </c>
      <c r="N39" s="11">
        <f>IF(OR(L39="",M39=""),"",M39-L39)</f>
        <v/>
      </c>
      <c r="O39" s="12">
        <f>IFERROR(N39/L39,"")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12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6" t="inlineStr">
        <is>
          <t>Tarih</t>
        </is>
      </c>
      <c r="B1" s="6" t="inlineStr">
        <is>
          <t>Saat</t>
        </is>
      </c>
      <c r="C1" s="6" t="inlineStr">
        <is>
          <t>Kurum / Sağlayıcı</t>
        </is>
      </c>
      <c r="D1" s="6" t="inlineStr">
        <is>
          <t>Ürün</t>
        </is>
      </c>
      <c r="E1" s="6" t="inlineStr">
        <is>
          <t>Alış</t>
        </is>
      </c>
      <c r="F1" s="6" t="inlineStr">
        <is>
          <t>Satış</t>
        </is>
      </c>
      <c r="G1" s="6" t="inlineStr">
        <is>
          <t>Makas</t>
        </is>
      </c>
      <c r="H1" s="6" t="inlineStr">
        <is>
          <t>Makas %</t>
        </is>
      </c>
      <c r="I1" s="6" t="inlineStr">
        <is>
          <t>Durum</t>
        </is>
      </c>
      <c r="J1" s="6" t="inlineStr">
        <is>
          <t>Kaynak</t>
        </is>
      </c>
      <c r="K1" s="6" t="inlineStr">
        <is>
          <t>Sitedeki Makas</t>
        </is>
      </c>
      <c r="L1" s="6" t="inlineStr">
        <is>
          <t>Sitedeki Makas %</t>
        </is>
      </c>
      <c r="M1" s="6" t="inlineStr">
        <is>
          <t>Not</t>
        </is>
      </c>
      <c r="N1" s="6" t="inlineStr">
        <is>
          <t>Gerçek Ürün Çekim Saati</t>
        </is>
      </c>
    </row>
    <row r="2">
      <c r="A2" s="9" t="n">
        <v>46262</v>
      </c>
      <c r="B2" s="10" t="n">
        <v>0.5570949074074074</v>
      </c>
      <c r="C2" t="inlineStr">
        <is>
          <t>Akbank</t>
        </is>
      </c>
      <c r="D2" t="inlineStr">
        <is>
          <t>EURO</t>
        </is>
      </c>
      <c r="E2" s="11" t="n">
        <v>55.1299</v>
      </c>
      <c r="F2" s="11" t="n">
        <v>56.7016</v>
      </c>
      <c r="G2" s="11">
        <f>IF(OR(E2="",F2=""),"",F2-E2)</f>
        <v/>
      </c>
      <c r="H2" s="12">
        <f>IFERROR(G2/E2,"")</f>
        <v/>
      </c>
      <c r="I2" s="13" t="inlineStr">
        <is>
          <t>OK</t>
        </is>
      </c>
      <c r="J2" s="14" t="inlineStr">
        <is>
          <t>https://kur.doviz.com/serbest-piyasa/euro</t>
        </is>
      </c>
      <c r="K2" s="11" t="n">
        <v>1.5717</v>
      </c>
      <c r="L2" s="12" t="n">
        <v>0.0285</v>
      </c>
      <c r="M2" s="15" t="inlineStr"/>
      <c r="N2" s="10" t="n">
        <v>0.5574074074074075</v>
      </c>
    </row>
    <row r="3">
      <c r="A3" s="9" t="n">
        <v>46262</v>
      </c>
      <c r="B3" s="10" t="n">
        <v>0.5570949074074074</v>
      </c>
      <c r="C3" t="inlineStr">
        <is>
          <t>Akbank</t>
        </is>
      </c>
      <c r="D3" t="inlineStr">
        <is>
          <t>DOLAR</t>
        </is>
      </c>
      <c r="E3" s="11" t="n">
        <v>47.354</v>
      </c>
      <c r="F3" s="11" t="n">
        <v>48.704</v>
      </c>
      <c r="G3" s="11">
        <f>IF(OR(E3="",F3=""),"",F3-E3)</f>
        <v/>
      </c>
      <c r="H3" s="12">
        <f>IFERROR(G3/E3,"")</f>
        <v/>
      </c>
      <c r="I3" s="13" t="inlineStr">
        <is>
          <t>OK</t>
        </is>
      </c>
      <c r="J3" s="14" t="inlineStr">
        <is>
          <t>https://kur.doviz.com/serbest-piyasa/amerikan-dolari</t>
        </is>
      </c>
      <c r="K3" s="11" t="n">
        <v>1.35</v>
      </c>
      <c r="L3" s="12" t="n">
        <v>0.0285</v>
      </c>
      <c r="M3" s="15" t="inlineStr"/>
      <c r="N3" s="10" t="n">
        <v>0.5572569444444444</v>
      </c>
    </row>
    <row r="4">
      <c r="A4" s="9" t="n">
        <v>46262</v>
      </c>
      <c r="B4" s="10" t="n">
        <v>0.5570949074074074</v>
      </c>
      <c r="C4" t="inlineStr">
        <is>
          <t>Akbank</t>
        </is>
      </c>
      <c r="D4" t="inlineStr">
        <is>
          <t>GRAM_ALTIN</t>
        </is>
      </c>
      <c r="E4" s="11" t="n">
        <v>6943.27</v>
      </c>
      <c r="F4" s="11" t="n">
        <v>7194.86</v>
      </c>
      <c r="G4" s="11">
        <f>IF(OR(E4="",F4=""),"",F4-E4)</f>
        <v/>
      </c>
      <c r="H4" s="12">
        <f>IFERROR(G4/E4,"")</f>
        <v/>
      </c>
      <c r="I4" s="13" t="inlineStr">
        <is>
          <t>OK</t>
        </is>
      </c>
      <c r="J4" s="14" t="inlineStr">
        <is>
          <t>https://altin.doviz.com/gram-altin</t>
        </is>
      </c>
      <c r="K4" s="11" t="n">
        <v>251.59</v>
      </c>
      <c r="L4" s="12" t="n">
        <v>0.0362</v>
      </c>
      <c r="M4" s="15" t="inlineStr"/>
      <c r="N4" s="10" t="n">
        <v>0.5575578703703704</v>
      </c>
    </row>
    <row r="5">
      <c r="A5" s="9" t="n">
        <v>46262</v>
      </c>
      <c r="B5" s="10" t="n">
        <v>0.5570949074074074</v>
      </c>
      <c r="C5" t="inlineStr">
        <is>
          <t>Albaraka Türk</t>
        </is>
      </c>
      <c r="D5" t="inlineStr">
        <is>
          <t>EURO</t>
        </is>
      </c>
      <c r="E5" s="11" t="n">
        <v>55.696</v>
      </c>
      <c r="F5" s="11" t="n">
        <v>56.61</v>
      </c>
      <c r="G5" s="11">
        <f>IF(OR(E5="",F5=""),"",F5-E5)</f>
        <v/>
      </c>
      <c r="H5" s="12">
        <f>IFERROR(G5/E5,"")</f>
        <v/>
      </c>
      <c r="I5" s="13" t="inlineStr">
        <is>
          <t>OK</t>
        </is>
      </c>
      <c r="J5" s="14" t="inlineStr">
        <is>
          <t>https://kur.doviz.com/serbest-piyasa/euro</t>
        </is>
      </c>
      <c r="K5" s="11" t="n">
        <v>0.914</v>
      </c>
      <c r="L5" s="12" t="n">
        <v>0.0164</v>
      </c>
      <c r="M5" s="15" t="inlineStr"/>
      <c r="N5" s="10" t="n">
        <v>0.5574074074074075</v>
      </c>
    </row>
    <row r="6">
      <c r="A6" s="9" t="n">
        <v>46262</v>
      </c>
      <c r="B6" s="10" t="n">
        <v>0.5570949074074074</v>
      </c>
      <c r="C6" t="inlineStr">
        <is>
          <t>Albaraka Türk</t>
        </is>
      </c>
      <c r="D6" t="inlineStr">
        <is>
          <t>DOLAR</t>
        </is>
      </c>
      <c r="E6" s="11" t="n">
        <v>47.845</v>
      </c>
      <c r="F6" s="11" t="n">
        <v>48.625</v>
      </c>
      <c r="G6" s="11">
        <f>IF(OR(E6="",F6=""),"",F6-E6)</f>
        <v/>
      </c>
      <c r="H6" s="12">
        <f>IFERROR(G6/E6,"")</f>
        <v/>
      </c>
      <c r="I6" s="13" t="inlineStr">
        <is>
          <t>OK</t>
        </is>
      </c>
      <c r="J6" s="14" t="inlineStr">
        <is>
          <t>https://kur.doviz.com/serbest-piyasa/amerikan-dolari</t>
        </is>
      </c>
      <c r="K6" s="11" t="n">
        <v>0.78</v>
      </c>
      <c r="L6" s="12" t="n">
        <v>0.0163</v>
      </c>
      <c r="M6" s="15" t="inlineStr"/>
      <c r="N6" s="10" t="n">
        <v>0.5572569444444444</v>
      </c>
    </row>
    <row r="7">
      <c r="A7" s="9" t="n">
        <v>46262</v>
      </c>
      <c r="B7" s="10" t="n">
        <v>0.5570949074074074</v>
      </c>
      <c r="C7" t="inlineStr">
        <is>
          <t>Albaraka Türk</t>
        </is>
      </c>
      <c r="D7" t="inlineStr">
        <is>
          <t>GRAM_ALTIN</t>
        </is>
      </c>
      <c r="E7" s="11" t="n">
        <v>7033.82</v>
      </c>
      <c r="F7" s="11" t="n">
        <v>7178.15</v>
      </c>
      <c r="G7" s="11">
        <f>IF(OR(E7="",F7=""),"",F7-E7)</f>
        <v/>
      </c>
      <c r="H7" s="12">
        <f>IFERROR(G7/E7,"")</f>
        <v/>
      </c>
      <c r="I7" s="13" t="inlineStr">
        <is>
          <t>OK</t>
        </is>
      </c>
      <c r="J7" s="14" t="inlineStr">
        <is>
          <t>https://altin.doviz.com/gram-altin</t>
        </is>
      </c>
      <c r="K7" s="11" t="n">
        <v>144.34</v>
      </c>
      <c r="L7" s="12" t="n">
        <v>0.0205</v>
      </c>
      <c r="M7" s="15" t="inlineStr"/>
      <c r="N7" s="10" t="n">
        <v>0.5575578703703704</v>
      </c>
    </row>
    <row r="8">
      <c r="A8" s="9" t="n">
        <v>46262</v>
      </c>
      <c r="B8" s="10" t="n">
        <v>0.5570949074074074</v>
      </c>
      <c r="C8" t="inlineStr">
        <is>
          <t>Alternatif Bank</t>
        </is>
      </c>
      <c r="D8" t="inlineStr">
        <is>
          <t>EURO</t>
        </is>
      </c>
      <c r="E8" s="11" t="n">
        <v>55.742</v>
      </c>
      <c r="F8" s="11" t="n">
        <v>56.26</v>
      </c>
      <c r="G8" s="11">
        <f>IF(OR(E8="",F8=""),"",F8-E8)</f>
        <v/>
      </c>
      <c r="H8" s="12">
        <f>IFERROR(G8/E8,"")</f>
        <v/>
      </c>
      <c r="I8" s="13" t="inlineStr">
        <is>
          <t>OK</t>
        </is>
      </c>
      <c r="J8" s="14" t="inlineStr">
        <is>
          <t>https://kur.doviz.com/serbest-piyasa/euro</t>
        </is>
      </c>
      <c r="K8" s="11" t="n">
        <v>0.518</v>
      </c>
      <c r="L8" s="12" t="n">
        <v>0.009300000000000001</v>
      </c>
      <c r="M8" s="15" t="inlineStr"/>
      <c r="N8" s="10" t="n">
        <v>0.5574074074074075</v>
      </c>
    </row>
    <row r="9">
      <c r="A9" s="9" t="n">
        <v>46262</v>
      </c>
      <c r="B9" s="10" t="n">
        <v>0.5570949074074074</v>
      </c>
      <c r="C9" t="inlineStr">
        <is>
          <t>Alternatif Bank</t>
        </is>
      </c>
      <c r="D9" t="inlineStr">
        <is>
          <t>DOLAR</t>
        </is>
      </c>
      <c r="E9" s="11" t="n">
        <v>48.028</v>
      </c>
      <c r="F9" s="11" t="n">
        <v>48.322</v>
      </c>
      <c r="G9" s="11">
        <f>IF(OR(E9="",F9=""),"",F9-E9)</f>
        <v/>
      </c>
      <c r="H9" s="12">
        <f>IFERROR(G9/E9,"")</f>
        <v/>
      </c>
      <c r="I9" s="13" t="inlineStr">
        <is>
          <t>OK</t>
        </is>
      </c>
      <c r="J9" s="14" t="inlineStr">
        <is>
          <t>https://kur.doviz.com/serbest-piyasa/amerikan-dolari</t>
        </is>
      </c>
      <c r="K9" s="11" t="n">
        <v>0.294</v>
      </c>
      <c r="L9" s="12" t="n">
        <v>0.0061</v>
      </c>
      <c r="M9" s="15" t="inlineStr"/>
      <c r="N9" s="10" t="n">
        <v>0.5572569444444444</v>
      </c>
    </row>
    <row r="10">
      <c r="A10" s="9" t="n">
        <v>46262</v>
      </c>
      <c r="B10" s="10" t="n">
        <v>0.5570949074074074</v>
      </c>
      <c r="C10" t="inlineStr">
        <is>
          <t>Alternatif Bank</t>
        </is>
      </c>
      <c r="D10" t="inlineStr">
        <is>
          <t>GRAM_ALTIN</t>
        </is>
      </c>
      <c r="E10" s="11" t="n">
        <v>7105.59</v>
      </c>
      <c r="F10" s="11" t="n">
        <v>7177.87</v>
      </c>
      <c r="G10" s="11">
        <f>IF(OR(E10="",F10=""),"",F10-E10)</f>
        <v/>
      </c>
      <c r="H10" s="12">
        <f>IFERROR(G10/E10,"")</f>
        <v/>
      </c>
      <c r="I10" s="13" t="inlineStr">
        <is>
          <t>OK</t>
        </is>
      </c>
      <c r="J10" s="14" t="inlineStr">
        <is>
          <t>https://altin.doviz.com/gram-altin</t>
        </is>
      </c>
      <c r="K10" s="11" t="n">
        <v>72.29000000000001</v>
      </c>
      <c r="L10" s="12" t="n">
        <v>0.0102</v>
      </c>
      <c r="M10" s="15" t="inlineStr"/>
      <c r="N10" s="10" t="n">
        <v>0.5575578703703704</v>
      </c>
    </row>
    <row r="11">
      <c r="A11" s="9" t="n">
        <v>46262</v>
      </c>
      <c r="B11" s="10" t="n">
        <v>0.5570949074074074</v>
      </c>
      <c r="C11" t="inlineStr">
        <is>
          <t>Altınkaynak</t>
        </is>
      </c>
      <c r="D11" t="inlineStr">
        <is>
          <t>EURO</t>
        </is>
      </c>
      <c r="E11" s="11" t="n">
        <v>55.731</v>
      </c>
      <c r="F11" s="11" t="n">
        <v>56.075</v>
      </c>
      <c r="G11" s="11">
        <f>IF(OR(E11="",F11=""),"",F11-E11)</f>
        <v/>
      </c>
      <c r="H11" s="12">
        <f>IFERROR(G11/E11,"")</f>
        <v/>
      </c>
      <c r="I11" s="13" t="inlineStr">
        <is>
          <t>OK</t>
        </is>
      </c>
      <c r="J11" s="14" t="inlineStr">
        <is>
          <t>https://kur.doviz.com/serbest-piyasa/euro</t>
        </is>
      </c>
      <c r="K11" s="11" t="n">
        <v>0.344</v>
      </c>
      <c r="L11" s="12" t="n">
        <v>0.0062</v>
      </c>
      <c r="M11" s="15" t="inlineStr"/>
      <c r="N11" s="10" t="n">
        <v>0.5574074074074075</v>
      </c>
    </row>
    <row r="12">
      <c r="A12" s="9" t="n">
        <v>46262</v>
      </c>
      <c r="B12" s="10" t="n">
        <v>0.5570949074074074</v>
      </c>
      <c r="C12" t="inlineStr">
        <is>
          <t>Altınkaynak</t>
        </is>
      </c>
      <c r="D12" t="inlineStr">
        <is>
          <t>DOLAR</t>
        </is>
      </c>
      <c r="E12" s="11" t="n">
        <v>47.971</v>
      </c>
      <c r="F12" s="11" t="n">
        <v>48.17</v>
      </c>
      <c r="G12" s="11">
        <f>IF(OR(E12="",F12=""),"",F12-E12)</f>
        <v/>
      </c>
      <c r="H12" s="12">
        <f>IFERROR(G12/E12,"")</f>
        <v/>
      </c>
      <c r="I12" s="13" t="inlineStr">
        <is>
          <t>OK</t>
        </is>
      </c>
      <c r="J12" s="14" t="inlineStr">
        <is>
          <t>https://kur.doviz.com/serbest-piyasa/amerikan-dolari</t>
        </is>
      </c>
      <c r="K12" s="11" t="n">
        <v>0.199</v>
      </c>
      <c r="L12" s="12" t="n">
        <v>0.004099999999999999</v>
      </c>
      <c r="M12" s="15" t="inlineStr"/>
      <c r="N12" s="10" t="n">
        <v>0.5572569444444444</v>
      </c>
    </row>
    <row r="13">
      <c r="A13" s="9" t="n">
        <v>46262</v>
      </c>
      <c r="B13" s="10" t="n">
        <v>0.5570949074074074</v>
      </c>
      <c r="C13" t="inlineStr">
        <is>
          <t>Altınkaynak</t>
        </is>
      </c>
      <c r="D13" t="inlineStr">
        <is>
          <t>GRAM_ALTIN</t>
        </is>
      </c>
      <c r="E13" s="11" t="n">
        <v>6998.3</v>
      </c>
      <c r="F13" s="11" t="n">
        <v>7175</v>
      </c>
      <c r="G13" s="11">
        <f>IF(OR(E13="",F13=""),"",F13-E13)</f>
        <v/>
      </c>
      <c r="H13" s="12">
        <f>IFERROR(G13/E13,"")</f>
        <v/>
      </c>
      <c r="I13" s="13" t="inlineStr">
        <is>
          <t>OK</t>
        </is>
      </c>
      <c r="J13" s="14" t="inlineStr">
        <is>
          <t>https://altin.doviz.com/gram-altin</t>
        </is>
      </c>
      <c r="K13" s="11" t="n">
        <v>176.7</v>
      </c>
      <c r="L13" s="12" t="n">
        <v>0.0252</v>
      </c>
      <c r="M13" s="15" t="inlineStr"/>
      <c r="N13" s="10" t="n">
        <v>0.5575578703703704</v>
      </c>
    </row>
    <row r="14">
      <c r="A14" s="9" t="n">
        <v>46262</v>
      </c>
      <c r="B14" s="10" t="n">
        <v>0.5570949074074074</v>
      </c>
      <c r="C14" t="inlineStr">
        <is>
          <t>Anadolubank</t>
        </is>
      </c>
      <c r="D14" t="inlineStr">
        <is>
          <t>EURO</t>
        </is>
      </c>
      <c r="E14" s="11" t="n">
        <v>55.1726</v>
      </c>
      <c r="F14" s="11" t="n">
        <v>56.5438</v>
      </c>
      <c r="G14" s="11">
        <f>IF(OR(E14="",F14=""),"",F14-E14)</f>
        <v/>
      </c>
      <c r="H14" s="12">
        <f>IFERROR(G14/E14,"")</f>
        <v/>
      </c>
      <c r="I14" s="13" t="inlineStr">
        <is>
          <t>OK</t>
        </is>
      </c>
      <c r="J14" s="14" t="inlineStr">
        <is>
          <t>https://kur.doviz.com/serbest-piyasa/euro</t>
        </is>
      </c>
      <c r="K14" s="11" t="n">
        <v>1.3712</v>
      </c>
      <c r="L14" s="12" t="n">
        <v>0.0249</v>
      </c>
      <c r="M14" s="15" t="inlineStr"/>
      <c r="N14" s="10" t="n">
        <v>0.5574074074074075</v>
      </c>
    </row>
    <row r="15">
      <c r="A15" s="9" t="n">
        <v>46262</v>
      </c>
      <c r="B15" s="10" t="n">
        <v>0.5570949074074074</v>
      </c>
      <c r="C15" t="inlineStr">
        <is>
          <t>Anadolubank</t>
        </is>
      </c>
      <c r="D15" t="inlineStr">
        <is>
          <t>DOLAR</t>
        </is>
      </c>
      <c r="E15" s="11" t="n">
        <v>47.3126</v>
      </c>
      <c r="F15" s="11" t="n">
        <v>48.5892</v>
      </c>
      <c r="G15" s="11">
        <f>IF(OR(E15="",F15=""),"",F15-E15)</f>
        <v/>
      </c>
      <c r="H15" s="12">
        <f>IFERROR(G15/E15,"")</f>
        <v/>
      </c>
      <c r="I15" s="13" t="inlineStr">
        <is>
          <t>OK</t>
        </is>
      </c>
      <c r="J15" s="14" t="inlineStr">
        <is>
          <t>https://kur.doviz.com/serbest-piyasa/amerikan-dolari</t>
        </is>
      </c>
      <c r="K15" s="11" t="n">
        <v>1.2766</v>
      </c>
      <c r="L15" s="12" t="n">
        <v>0.027</v>
      </c>
      <c r="M15" s="15" t="inlineStr"/>
      <c r="N15" s="10" t="n">
        <v>0.5572569444444444</v>
      </c>
    </row>
    <row r="16">
      <c r="A16" s="9" t="n">
        <v>46262</v>
      </c>
      <c r="B16" s="10" t="n">
        <v>0.5570949074074074</v>
      </c>
      <c r="C16" t="inlineStr">
        <is>
          <t>Anadolubank</t>
        </is>
      </c>
      <c r="D16" t="inlineStr">
        <is>
          <t>GRAM_ALTIN</t>
        </is>
      </c>
      <c r="E16" s="11" t="n">
        <v>7005.31</v>
      </c>
      <c r="F16" s="11" t="n">
        <v>7164.08</v>
      </c>
      <c r="G16" s="11">
        <f>IF(OR(E16="",F16=""),"",F16-E16)</f>
        <v/>
      </c>
      <c r="H16" s="12">
        <f>IFERROR(G16/E16,"")</f>
        <v/>
      </c>
      <c r="I16" s="13" t="inlineStr">
        <is>
          <t>OK</t>
        </is>
      </c>
      <c r="J16" s="14" t="inlineStr">
        <is>
          <t>https://altin.doviz.com/gram-altin</t>
        </is>
      </c>
      <c r="K16" s="11" t="n">
        <v>158.77</v>
      </c>
      <c r="L16" s="12" t="n">
        <v>0.0227</v>
      </c>
      <c r="M16" s="15" t="inlineStr"/>
      <c r="N16" s="10" t="n">
        <v>0.5575578703703704</v>
      </c>
    </row>
    <row r="17">
      <c r="A17" s="9" t="n">
        <v>46262</v>
      </c>
      <c r="B17" s="10" t="n">
        <v>0.5570949074074074</v>
      </c>
      <c r="C17" t="inlineStr">
        <is>
          <t>CEPTETEB</t>
        </is>
      </c>
      <c r="D17" t="inlineStr">
        <is>
          <t>EURO</t>
        </is>
      </c>
      <c r="E17" s="11" t="n">
        <v>54.901</v>
      </c>
      <c r="F17" s="11" t="n">
        <v>57.143</v>
      </c>
      <c r="G17" s="11">
        <f>IF(OR(E17="",F17=""),"",F17-E17)</f>
        <v/>
      </c>
      <c r="H17" s="12">
        <f>IFERROR(G17/E17,"")</f>
        <v/>
      </c>
      <c r="I17" s="13" t="inlineStr">
        <is>
          <t>OK</t>
        </is>
      </c>
      <c r="J17" s="14" t="inlineStr">
        <is>
          <t>https://kur.doviz.com/serbest-piyasa/euro</t>
        </is>
      </c>
      <c r="K17" s="11" t="n">
        <v>2.242</v>
      </c>
      <c r="L17" s="12" t="n">
        <v>0.0408</v>
      </c>
      <c r="M17" s="15" t="inlineStr"/>
      <c r="N17" s="10" t="n">
        <v>0.5574074074074075</v>
      </c>
    </row>
    <row r="18">
      <c r="A18" s="9" t="n">
        <v>46262</v>
      </c>
      <c r="B18" s="10" t="n">
        <v>0.5570949074074074</v>
      </c>
      <c r="C18" t="inlineStr">
        <is>
          <t>CEPTETEB</t>
        </is>
      </c>
      <c r="D18" t="inlineStr">
        <is>
          <t>DOLAR</t>
        </is>
      </c>
      <c r="E18" s="11" t="n">
        <v>47.166</v>
      </c>
      <c r="F18" s="11" t="n">
        <v>49.084</v>
      </c>
      <c r="G18" s="11">
        <f>IF(OR(E18="",F18=""),"",F18-E18)</f>
        <v/>
      </c>
      <c r="H18" s="12">
        <f>IFERROR(G18/E18,"")</f>
        <v/>
      </c>
      <c r="I18" s="13" t="inlineStr">
        <is>
          <t>OK</t>
        </is>
      </c>
      <c r="J18" s="14" t="inlineStr">
        <is>
          <t>https://kur.doviz.com/serbest-piyasa/amerikan-dolari</t>
        </is>
      </c>
      <c r="K18" s="11" t="n">
        <v>1.918</v>
      </c>
      <c r="L18" s="12" t="n">
        <v>0.0407</v>
      </c>
      <c r="M18" s="15" t="inlineStr"/>
      <c r="N18" s="10" t="n">
        <v>0.5572569444444444</v>
      </c>
    </row>
    <row r="19">
      <c r="A19" s="9" t="n">
        <v>46262</v>
      </c>
      <c r="B19" s="10" t="n">
        <v>0.5570949074074074</v>
      </c>
      <c r="C19" t="inlineStr">
        <is>
          <t>CEPTETEB</t>
        </is>
      </c>
      <c r="D19" t="inlineStr">
        <is>
          <t>GRAM_ALTIN</t>
        </is>
      </c>
      <c r="E19" s="11" t="n">
        <v>7009.17</v>
      </c>
      <c r="F19" s="11" t="n">
        <v>7203.12</v>
      </c>
      <c r="G19" s="11">
        <f>IF(OR(E19="",F19=""),"",F19-E19)</f>
        <v/>
      </c>
      <c r="H19" s="12">
        <f>IFERROR(G19/E19,"")</f>
        <v/>
      </c>
      <c r="I19" s="13" t="inlineStr">
        <is>
          <t>OK</t>
        </is>
      </c>
      <c r="J19" s="14" t="inlineStr">
        <is>
          <t>https://altin.doviz.com/gram-altin</t>
        </is>
      </c>
      <c r="K19" s="11" t="n">
        <v>193.95</v>
      </c>
      <c r="L19" s="12" t="n">
        <v>0.0277</v>
      </c>
      <c r="M19" s="15" t="inlineStr"/>
      <c r="N19" s="10" t="n">
        <v>0.5575578703703704</v>
      </c>
    </row>
    <row r="20">
      <c r="A20" s="9" t="n">
        <v>46262</v>
      </c>
      <c r="B20" s="10" t="n">
        <v>0.5570949074074074</v>
      </c>
      <c r="C20" t="inlineStr">
        <is>
          <t>Denizbank</t>
        </is>
      </c>
      <c r="D20" t="inlineStr">
        <is>
          <t>EURO</t>
        </is>
      </c>
      <c r="E20" s="11" t="n">
        <v>55.1945</v>
      </c>
      <c r="F20" s="11" t="n">
        <v>56.8241</v>
      </c>
      <c r="G20" s="11">
        <f>IF(OR(E20="",F20=""),"",F20-E20)</f>
        <v/>
      </c>
      <c r="H20" s="12">
        <f>IFERROR(G20/E20,"")</f>
        <v/>
      </c>
      <c r="I20" s="13" t="inlineStr">
        <is>
          <t>OK</t>
        </is>
      </c>
      <c r="J20" s="14" t="inlineStr">
        <is>
          <t>https://kur.doviz.com/serbest-piyasa/euro</t>
        </is>
      </c>
      <c r="K20" s="11" t="n">
        <v>1.6296</v>
      </c>
      <c r="L20" s="12" t="n">
        <v>0.0295</v>
      </c>
      <c r="M20" s="15" t="inlineStr"/>
      <c r="N20" s="10" t="n">
        <v>0.5574074074074075</v>
      </c>
    </row>
    <row r="21">
      <c r="A21" s="9" t="n">
        <v>46262</v>
      </c>
      <c r="B21" s="10" t="n">
        <v>0.5570949074074074</v>
      </c>
      <c r="C21" t="inlineStr">
        <is>
          <t>Denizbank</t>
        </is>
      </c>
      <c r="D21" t="inlineStr">
        <is>
          <t>DOLAR</t>
        </is>
      </c>
      <c r="E21" s="11" t="n">
        <v>47.4203</v>
      </c>
      <c r="F21" s="11" t="n">
        <v>48.8204</v>
      </c>
      <c r="G21" s="11">
        <f>IF(OR(E21="",F21=""),"",F21-E21)</f>
        <v/>
      </c>
      <c r="H21" s="12">
        <f>IFERROR(G21/E21,"")</f>
        <v/>
      </c>
      <c r="I21" s="13" t="inlineStr">
        <is>
          <t>OK</t>
        </is>
      </c>
      <c r="J21" s="14" t="inlineStr">
        <is>
          <t>https://kur.doviz.com/serbest-piyasa/amerikan-dolari</t>
        </is>
      </c>
      <c r="K21" s="11" t="n">
        <v>1.4001</v>
      </c>
      <c r="L21" s="12" t="n">
        <v>0.0295</v>
      </c>
      <c r="M21" s="15" t="inlineStr"/>
      <c r="N21" s="10" t="n">
        <v>0.5572569444444444</v>
      </c>
    </row>
    <row r="22">
      <c r="A22" s="9" t="n">
        <v>46262</v>
      </c>
      <c r="B22" s="10" t="n">
        <v>0.5570949074074074</v>
      </c>
      <c r="C22" t="inlineStr">
        <is>
          <t>Denizbank</t>
        </is>
      </c>
      <c r="D22" t="inlineStr">
        <is>
          <t>GRAM_ALTIN</t>
        </is>
      </c>
      <c r="E22" s="11" t="n">
        <v>7019.29</v>
      </c>
      <c r="F22" s="11" t="n">
        <v>7227.61</v>
      </c>
      <c r="G22" s="11">
        <f>IF(OR(E22="",F22=""),"",F22-E22)</f>
        <v/>
      </c>
      <c r="H22" s="12">
        <f>IFERROR(G22/E22,"")</f>
        <v/>
      </c>
      <c r="I22" s="13" t="inlineStr">
        <is>
          <t>OK</t>
        </is>
      </c>
      <c r="J22" s="14" t="inlineStr">
        <is>
          <t>https://altin.doviz.com/gram-altin</t>
        </is>
      </c>
      <c r="K22" s="11" t="n">
        <v>208.32</v>
      </c>
      <c r="L22" s="12" t="n">
        <v>0.0297</v>
      </c>
      <c r="M22" s="15" t="inlineStr"/>
      <c r="N22" s="10" t="n">
        <v>0.5575578703703704</v>
      </c>
    </row>
    <row r="23">
      <c r="A23" s="9" t="n">
        <v>46262</v>
      </c>
      <c r="B23" s="10" t="n">
        <v>0.5570949074074074</v>
      </c>
      <c r="C23" t="inlineStr">
        <is>
          <t>DestekBank</t>
        </is>
      </c>
      <c r="D23" t="inlineStr">
        <is>
          <t>EURO</t>
        </is>
      </c>
      <c r="E23" s="11" t="n">
        <v>55.9461</v>
      </c>
      <c r="F23" s="11" t="n">
        <v>56.0434</v>
      </c>
      <c r="G23" s="11">
        <f>IF(OR(E23="",F23=""),"",F23-E23)</f>
        <v/>
      </c>
      <c r="H23" s="12">
        <f>IFERROR(G23/E23,"")</f>
        <v/>
      </c>
      <c r="I23" s="13" t="inlineStr">
        <is>
          <t>OK</t>
        </is>
      </c>
      <c r="J23" s="14" t="inlineStr">
        <is>
          <t>https://kur.doviz.com/serbest-piyasa/euro</t>
        </is>
      </c>
      <c r="K23" s="11" t="n">
        <v>0.0973</v>
      </c>
      <c r="L23" s="12" t="n">
        <v>0.0017</v>
      </c>
      <c r="M23" s="15" t="inlineStr"/>
      <c r="N23" s="10" t="n">
        <v>0.5574074074074075</v>
      </c>
    </row>
    <row r="24">
      <c r="A24" s="9" t="n">
        <v>46262</v>
      </c>
      <c r="B24" s="10" t="n">
        <v>0.5570949074074074</v>
      </c>
      <c r="C24" t="inlineStr">
        <is>
          <t>DestekBank</t>
        </is>
      </c>
      <c r="D24" t="inlineStr">
        <is>
          <t>DOLAR</t>
        </is>
      </c>
      <c r="E24" s="11" t="n">
        <v>48.0771</v>
      </c>
      <c r="F24" s="11" t="n">
        <v>48.1462</v>
      </c>
      <c r="G24" s="11">
        <f>IF(OR(E24="",F24=""),"",F24-E24)</f>
        <v/>
      </c>
      <c r="H24" s="12">
        <f>IFERROR(G24/E24,"")</f>
        <v/>
      </c>
      <c r="I24" s="13" t="inlineStr">
        <is>
          <t>OK</t>
        </is>
      </c>
      <c r="J24" s="14" t="inlineStr">
        <is>
          <t>https://kur.doviz.com/serbest-piyasa/amerikan-dolari</t>
        </is>
      </c>
      <c r="K24" s="11" t="n">
        <v>0.06909999999999999</v>
      </c>
      <c r="L24" s="12" t="n">
        <v>0.0014</v>
      </c>
      <c r="M24" s="15" t="inlineStr"/>
      <c r="N24" s="10" t="n">
        <v>0.5572569444444444</v>
      </c>
    </row>
    <row r="25">
      <c r="A25" s="9" t="n">
        <v>46262</v>
      </c>
      <c r="B25" s="10" t="n">
        <v>0.5570949074074074</v>
      </c>
      <c r="C25" t="inlineStr">
        <is>
          <t>DestekBank</t>
        </is>
      </c>
      <c r="D25" t="inlineStr">
        <is>
          <t>GRAM_ALTIN</t>
        </is>
      </c>
      <c r="E25" s="11" t="n">
        <v>7066.85</v>
      </c>
      <c r="F25" s="11" t="n">
        <v>7097.86</v>
      </c>
      <c r="G25" s="11">
        <f>IF(OR(E25="",F25=""),"",F25-E25)</f>
        <v/>
      </c>
      <c r="H25" s="12">
        <f>IFERROR(G25/E25,"")</f>
        <v/>
      </c>
      <c r="I25" s="13" t="inlineStr">
        <is>
          <t>OK</t>
        </is>
      </c>
      <c r="J25" s="14" t="inlineStr">
        <is>
          <t>https://altin.doviz.com/gram-altin</t>
        </is>
      </c>
      <c r="K25" s="11" t="n">
        <v>31.01</v>
      </c>
      <c r="L25" s="12" t="n">
        <v>0.0044</v>
      </c>
      <c r="M25" s="15" t="inlineStr"/>
      <c r="N25" s="10" t="n">
        <v>0.5575578703703704</v>
      </c>
    </row>
    <row r="26">
      <c r="A26" s="9" t="n">
        <v>46262</v>
      </c>
      <c r="B26" s="10" t="n">
        <v>0.5570949074074074</v>
      </c>
      <c r="C26" t="inlineStr">
        <is>
          <t>Dünya Katılım</t>
        </is>
      </c>
      <c r="D26" t="inlineStr">
        <is>
          <t>EURO</t>
        </is>
      </c>
      <c r="E26" s="11" t="n">
        <v>55.9328</v>
      </c>
      <c r="F26" s="11" t="n">
        <v>56.0473</v>
      </c>
      <c r="G26" s="11">
        <f>IF(OR(E26="",F26=""),"",F26-E26)</f>
        <v/>
      </c>
      <c r="H26" s="12">
        <f>IFERROR(G26/E26,"")</f>
        <v/>
      </c>
      <c r="I26" s="13" t="inlineStr">
        <is>
          <t>OK</t>
        </is>
      </c>
      <c r="J26" s="14" t="inlineStr">
        <is>
          <t>https://kur.doviz.com/serbest-piyasa/euro</t>
        </is>
      </c>
      <c r="K26" s="11" t="n">
        <v>0.1146</v>
      </c>
      <c r="L26" s="12" t="n">
        <v>0.002</v>
      </c>
      <c r="M26" s="15" t="inlineStr"/>
      <c r="N26" s="10" t="n">
        <v>0.5574074074074075</v>
      </c>
    </row>
    <row r="27">
      <c r="A27" s="9" t="n">
        <v>46262</v>
      </c>
      <c r="B27" s="10" t="n">
        <v>0.5570949074074074</v>
      </c>
      <c r="C27" t="inlineStr">
        <is>
          <t>Dünya Katılım</t>
        </is>
      </c>
      <c r="D27" t="inlineStr">
        <is>
          <t>DOLAR</t>
        </is>
      </c>
      <c r="E27" s="11" t="n">
        <v>48.0984</v>
      </c>
      <c r="F27" s="11" t="n">
        <v>48.1369</v>
      </c>
      <c r="G27" s="11">
        <f>IF(OR(E27="",F27=""),"",F27-E27)</f>
        <v/>
      </c>
      <c r="H27" s="12">
        <f>IFERROR(G27/E27,"")</f>
        <v/>
      </c>
      <c r="I27" s="13" t="inlineStr">
        <is>
          <t>OK</t>
        </is>
      </c>
      <c r="J27" s="14" t="inlineStr">
        <is>
          <t>https://kur.doviz.com/serbest-piyasa/amerikan-dolari</t>
        </is>
      </c>
      <c r="K27" s="11" t="n">
        <v>0.0385</v>
      </c>
      <c r="L27" s="12" t="n">
        <v>0.0008</v>
      </c>
      <c r="M27" s="15" t="inlineStr"/>
      <c r="N27" s="10" t="n">
        <v>0.5572569444444444</v>
      </c>
    </row>
    <row r="28">
      <c r="A28" s="9" t="n">
        <v>46262</v>
      </c>
      <c r="B28" s="10" t="n">
        <v>0.5570949074074074</v>
      </c>
      <c r="C28" t="inlineStr">
        <is>
          <t>Dünya Katılım</t>
        </is>
      </c>
      <c r="D28" t="inlineStr">
        <is>
          <t>GRAM_ALTIN</t>
        </is>
      </c>
      <c r="E28" s="11" t="n">
        <v>7068.4</v>
      </c>
      <c r="F28" s="11" t="n">
        <v>7102.54</v>
      </c>
      <c r="G28" s="11">
        <f>IF(OR(E28="",F28=""),"",F28-E28)</f>
        <v/>
      </c>
      <c r="H28" s="12">
        <f>IFERROR(G28/E28,"")</f>
        <v/>
      </c>
      <c r="I28" s="13" t="inlineStr">
        <is>
          <t>OK</t>
        </is>
      </c>
      <c r="J28" s="14" t="inlineStr">
        <is>
          <t>https://altin.doviz.com/gram-altin</t>
        </is>
      </c>
      <c r="K28" s="11" t="n">
        <v>34.15</v>
      </c>
      <c r="L28" s="12" t="n">
        <v>0.0048</v>
      </c>
      <c r="M28" s="15" t="inlineStr"/>
      <c r="N28" s="10" t="n">
        <v>0.5575578703703704</v>
      </c>
    </row>
    <row r="29">
      <c r="A29" s="9" t="n">
        <v>46262</v>
      </c>
      <c r="B29" s="10" t="n">
        <v>0.5570949074074074</v>
      </c>
      <c r="C29" t="inlineStr">
        <is>
          <t>Emlak Katılım</t>
        </is>
      </c>
      <c r="D29" t="inlineStr">
        <is>
          <t>EURO</t>
        </is>
      </c>
      <c r="E29" s="11" t="n">
        <v>55.5196</v>
      </c>
      <c r="F29" s="11" t="n">
        <v>56.7975</v>
      </c>
      <c r="G29" s="11">
        <f>IF(OR(E29="",F29=""),"",F29-E29)</f>
        <v/>
      </c>
      <c r="H29" s="12">
        <f>IFERROR(G29/E29,"")</f>
        <v/>
      </c>
      <c r="I29" s="13" t="inlineStr">
        <is>
          <t>OK</t>
        </is>
      </c>
      <c r="J29" s="14" t="inlineStr">
        <is>
          <t>https://kur.doviz.com/serbest-piyasa/euro</t>
        </is>
      </c>
      <c r="K29" s="11" t="n">
        <v>1.2779</v>
      </c>
      <c r="L29" s="12" t="n">
        <v>0.023</v>
      </c>
      <c r="M29" s="15" t="inlineStr"/>
      <c r="N29" s="10" t="n">
        <v>0.5574074074074075</v>
      </c>
    </row>
    <row r="30">
      <c r="A30" s="9" t="n">
        <v>46262</v>
      </c>
      <c r="B30" s="10" t="n">
        <v>0.5570949074074074</v>
      </c>
      <c r="C30" t="inlineStr">
        <is>
          <t>Emlak Katılım</t>
        </is>
      </c>
      <c r="D30" t="inlineStr">
        <is>
          <t>DOLAR</t>
        </is>
      </c>
      <c r="E30" s="11" t="n">
        <v>47.7827</v>
      </c>
      <c r="F30" s="11" t="n">
        <v>49.0179</v>
      </c>
      <c r="G30" s="11">
        <f>IF(OR(E30="",F30=""),"",F30-E30)</f>
        <v/>
      </c>
      <c r="H30" s="12">
        <f>IFERROR(G30/E30,"")</f>
        <v/>
      </c>
      <c r="I30" s="13" t="inlineStr">
        <is>
          <t>OK</t>
        </is>
      </c>
      <c r="J30" s="14" t="inlineStr">
        <is>
          <t>https://kur.doviz.com/serbest-piyasa/amerikan-dolari</t>
        </is>
      </c>
      <c r="K30" s="11" t="n">
        <v>1.2352</v>
      </c>
      <c r="L30" s="12" t="n">
        <v>0.0258</v>
      </c>
      <c r="M30" s="15" t="inlineStr"/>
      <c r="N30" s="10" t="n">
        <v>0.5572569444444444</v>
      </c>
    </row>
    <row r="31">
      <c r="A31" s="9" t="n">
        <v>46262</v>
      </c>
      <c r="B31" s="10" t="n">
        <v>0.5570949074074074</v>
      </c>
      <c r="C31" t="inlineStr">
        <is>
          <t>Emlak Katılım</t>
        </is>
      </c>
      <c r="D31" t="inlineStr">
        <is>
          <t>GRAM_ALTIN</t>
        </is>
      </c>
      <c r="E31" s="11" t="n">
        <v>7039.49</v>
      </c>
      <c r="F31" s="11" t="n">
        <v>7154.33</v>
      </c>
      <c r="G31" s="11">
        <f>IF(OR(E31="",F31=""),"",F31-E31)</f>
        <v/>
      </c>
      <c r="H31" s="12">
        <f>IFERROR(G31/E31,"")</f>
        <v/>
      </c>
      <c r="I31" s="13" t="inlineStr">
        <is>
          <t>OK</t>
        </is>
      </c>
      <c r="J31" s="14" t="inlineStr">
        <is>
          <t>https://altin.doviz.com/gram-altin</t>
        </is>
      </c>
      <c r="K31" s="11" t="n">
        <v>114.84</v>
      </c>
      <c r="L31" s="12" t="n">
        <v>0.0163</v>
      </c>
      <c r="M31" s="15" t="inlineStr"/>
      <c r="N31" s="10" t="n">
        <v>0.5575578703703704</v>
      </c>
    </row>
    <row r="32">
      <c r="A32" s="9" t="n">
        <v>46262</v>
      </c>
      <c r="B32" s="10" t="n">
        <v>0.5570949074074074</v>
      </c>
      <c r="C32" t="inlineStr">
        <is>
          <t>Enpara</t>
        </is>
      </c>
      <c r="D32" t="inlineStr">
        <is>
          <t>EURO</t>
        </is>
      </c>
      <c r="E32" s="11" t="n">
        <v>55.5499</v>
      </c>
      <c r="F32" s="11" t="n">
        <v>56.7126</v>
      </c>
      <c r="G32" s="11">
        <f>IF(OR(E32="",F32=""),"",F32-E32)</f>
        <v/>
      </c>
      <c r="H32" s="12">
        <f>IFERROR(G32/E32,"")</f>
        <v/>
      </c>
      <c r="I32" s="13" t="inlineStr">
        <is>
          <t>OK</t>
        </is>
      </c>
      <c r="J32" s="14" t="inlineStr">
        <is>
          <t>https://kur.doviz.com/serbest-piyasa/euro</t>
        </is>
      </c>
      <c r="K32" s="11" t="n">
        <v>1.1626</v>
      </c>
      <c r="L32" s="12" t="n">
        <v>0.0209</v>
      </c>
      <c r="M32" s="15" t="inlineStr"/>
      <c r="N32" s="10" t="n">
        <v>0.5574074074074075</v>
      </c>
    </row>
    <row r="33">
      <c r="A33" s="9" t="n">
        <v>46262</v>
      </c>
      <c r="B33" s="10" t="n">
        <v>0.5570949074074074</v>
      </c>
      <c r="C33" t="inlineStr">
        <is>
          <t>Enpara</t>
        </is>
      </c>
      <c r="D33" t="inlineStr">
        <is>
          <t>DOLAR</t>
        </is>
      </c>
      <c r="E33" s="11" t="n">
        <v>47.795</v>
      </c>
      <c r="F33" s="11" t="n">
        <v>48.645</v>
      </c>
      <c r="G33" s="11">
        <f>IF(OR(E33="",F33=""),"",F33-E33)</f>
        <v/>
      </c>
      <c r="H33" s="12">
        <f>IFERROR(G33/E33,"")</f>
        <v/>
      </c>
      <c r="I33" s="13" t="inlineStr">
        <is>
          <t>OK</t>
        </is>
      </c>
      <c r="J33" s="14" t="inlineStr">
        <is>
          <t>https://kur.doviz.com/serbest-piyasa/amerikan-dolari</t>
        </is>
      </c>
      <c r="K33" s="11" t="n">
        <v>0.85</v>
      </c>
      <c r="L33" s="12" t="n">
        <v>0.0178</v>
      </c>
      <c r="M33" s="15" t="inlineStr"/>
      <c r="N33" s="10" t="n">
        <v>0.5572569444444444</v>
      </c>
    </row>
    <row r="34">
      <c r="A34" s="9" t="n">
        <v>46262</v>
      </c>
      <c r="B34" s="10" t="n">
        <v>0.5570949074074074</v>
      </c>
      <c r="C34" t="inlineStr">
        <is>
          <t>Enpara</t>
        </is>
      </c>
      <c r="D34" t="inlineStr">
        <is>
          <t>GRAM_ALTIN</t>
        </is>
      </c>
      <c r="E34" s="11" t="n">
        <v>7028.87</v>
      </c>
      <c r="F34" s="11" t="n">
        <v>7191.97</v>
      </c>
      <c r="G34" s="11">
        <f>IF(OR(E34="",F34=""),"",F34-E34)</f>
        <v/>
      </c>
      <c r="H34" s="12">
        <f>IFERROR(G34/E34,"")</f>
        <v/>
      </c>
      <c r="I34" s="13" t="inlineStr">
        <is>
          <t>OK</t>
        </is>
      </c>
      <c r="J34" s="14" t="inlineStr">
        <is>
          <t>https://altin.doviz.com/gram-altin</t>
        </is>
      </c>
      <c r="K34" s="11" t="n">
        <v>163.1</v>
      </c>
      <c r="L34" s="12" t="n">
        <v>0.0232</v>
      </c>
      <c r="M34" s="15" t="inlineStr"/>
      <c r="N34" s="10" t="n">
        <v>0.5575578703703704</v>
      </c>
    </row>
    <row r="35">
      <c r="A35" s="9" t="n">
        <v>46262</v>
      </c>
      <c r="B35" s="10" t="n">
        <v>0.5570949074074074</v>
      </c>
      <c r="C35" t="inlineStr">
        <is>
          <t>Fibabanka</t>
        </is>
      </c>
      <c r="D35" t="inlineStr">
        <is>
          <t>EURO</t>
        </is>
      </c>
      <c r="E35" s="11" t="n">
        <v>55.7163</v>
      </c>
      <c r="F35" s="11" t="n">
        <v>56.3944</v>
      </c>
      <c r="G35" s="11">
        <f>IF(OR(E35="",F35=""),"",F35-E35)</f>
        <v/>
      </c>
      <c r="H35" s="12">
        <f>IFERROR(G35/E35,"")</f>
        <v/>
      </c>
      <c r="I35" s="13" t="inlineStr">
        <is>
          <t>OK</t>
        </is>
      </c>
      <c r="J35" s="14" t="inlineStr">
        <is>
          <t>https://kur.doviz.com/serbest-piyasa/euro</t>
        </is>
      </c>
      <c r="K35" s="11" t="n">
        <v>0.6781</v>
      </c>
      <c r="L35" s="12" t="n">
        <v>0.0122</v>
      </c>
      <c r="M35" s="15" t="inlineStr"/>
      <c r="N35" s="10" t="n">
        <v>0.5574074074074075</v>
      </c>
    </row>
    <row r="36">
      <c r="A36" s="9" t="n">
        <v>46262</v>
      </c>
      <c r="B36" s="10" t="n">
        <v>0.5570949074074074</v>
      </c>
      <c r="C36" t="inlineStr">
        <is>
          <t>Fibabanka</t>
        </is>
      </c>
      <c r="D36" t="inlineStr">
        <is>
          <t>DOLAR</t>
        </is>
      </c>
      <c r="E36" s="11" t="n">
        <v>47.8481</v>
      </c>
      <c r="F36" s="11" t="n">
        <v>48.4682</v>
      </c>
      <c r="G36" s="11">
        <f>IF(OR(E36="",F36=""),"",F36-E36)</f>
        <v/>
      </c>
      <c r="H36" s="12">
        <f>IFERROR(G36/E36,"")</f>
        <v/>
      </c>
      <c r="I36" s="13" t="inlineStr">
        <is>
          <t>OK</t>
        </is>
      </c>
      <c r="J36" s="14" t="inlineStr">
        <is>
          <t>https://kur.doviz.com/serbest-piyasa/amerikan-dolari</t>
        </is>
      </c>
      <c r="K36" s="11" t="n">
        <v>0.6201</v>
      </c>
      <c r="L36" s="12" t="n">
        <v>0.013</v>
      </c>
      <c r="M36" s="15" t="inlineStr"/>
      <c r="N36" s="10" t="n">
        <v>0.5572569444444444</v>
      </c>
    </row>
    <row r="37">
      <c r="A37" s="9" t="n">
        <v>46262</v>
      </c>
      <c r="B37" s="10" t="n">
        <v>0.5570949074074074</v>
      </c>
      <c r="C37" t="inlineStr">
        <is>
          <t>Fibabanka</t>
        </is>
      </c>
      <c r="D37" t="inlineStr">
        <is>
          <t>GRAM_ALTIN</t>
        </is>
      </c>
      <c r="E37" s="11" t="n">
        <v>7092.53</v>
      </c>
      <c r="F37" s="11" t="n">
        <v>7149.33</v>
      </c>
      <c r="G37" s="11">
        <f>IF(OR(E37="",F37=""),"",F37-E37)</f>
        <v/>
      </c>
      <c r="H37" s="12">
        <f>IFERROR(G37/E37,"")</f>
        <v/>
      </c>
      <c r="I37" s="13" t="inlineStr">
        <is>
          <t>OK</t>
        </is>
      </c>
      <c r="J37" s="14" t="inlineStr">
        <is>
          <t>https://altin.doviz.com/gram-altin</t>
        </is>
      </c>
      <c r="K37" s="11" t="n">
        <v>56.79</v>
      </c>
      <c r="L37" s="12" t="n">
        <v>0.008</v>
      </c>
      <c r="M37" s="15" t="inlineStr"/>
      <c r="N37" s="10" t="n">
        <v>0.5575578703703704</v>
      </c>
    </row>
    <row r="38">
      <c r="A38" s="9" t="n">
        <v>46262</v>
      </c>
      <c r="B38" s="10" t="n">
        <v>0.5570949074074074</v>
      </c>
      <c r="C38" t="inlineStr">
        <is>
          <t>Garanti BBVA</t>
        </is>
      </c>
      <c r="D38" t="inlineStr">
        <is>
          <t>EURO</t>
        </is>
      </c>
      <c r="E38" s="11" t="n">
        <v>55.084</v>
      </c>
      <c r="F38" s="11" t="n">
        <v>56.656</v>
      </c>
      <c r="G38" s="11">
        <f>IF(OR(E38="",F38=""),"",F38-E38)</f>
        <v/>
      </c>
      <c r="H38" s="12">
        <f>IFERROR(G38/E38,"")</f>
        <v/>
      </c>
      <c r="I38" s="13" t="inlineStr">
        <is>
          <t>OK</t>
        </is>
      </c>
      <c r="J38" s="14" t="inlineStr">
        <is>
          <t>https://kur.doviz.com/serbest-piyasa/euro</t>
        </is>
      </c>
      <c r="K38" s="11" t="n">
        <v>1.572</v>
      </c>
      <c r="L38" s="12" t="n">
        <v>0.0285</v>
      </c>
      <c r="M38" s="15" t="inlineStr"/>
      <c r="N38" s="10" t="n">
        <v>0.5574074074074075</v>
      </c>
    </row>
    <row r="39">
      <c r="A39" s="9" t="n">
        <v>46262</v>
      </c>
      <c r="B39" s="10" t="n">
        <v>0.5570949074074074</v>
      </c>
      <c r="C39" t="inlineStr">
        <is>
          <t>Garanti BBVA</t>
        </is>
      </c>
      <c r="D39" t="inlineStr">
        <is>
          <t>DOLAR</t>
        </is>
      </c>
      <c r="E39" s="11" t="n">
        <v>47.315</v>
      </c>
      <c r="F39" s="11" t="n">
        <v>48.665</v>
      </c>
      <c r="G39" s="11">
        <f>IF(OR(E39="",F39=""),"",F39-E39)</f>
        <v/>
      </c>
      <c r="H39" s="12">
        <f>IFERROR(G39/E39,"")</f>
        <v/>
      </c>
      <c r="I39" s="13" t="inlineStr">
        <is>
          <t>OK</t>
        </is>
      </c>
      <c r="J39" s="14" t="inlineStr">
        <is>
          <t>https://kur.doviz.com/serbest-piyasa/amerikan-dolari</t>
        </is>
      </c>
      <c r="K39" s="11" t="n">
        <v>1.35</v>
      </c>
      <c r="L39" s="12" t="n">
        <v>0.0285</v>
      </c>
      <c r="M39" s="15" t="inlineStr"/>
      <c r="N39" s="10" t="n">
        <v>0.5572569444444444</v>
      </c>
    </row>
    <row r="40">
      <c r="A40" s="9" t="n">
        <v>46262</v>
      </c>
      <c r="B40" s="10" t="n">
        <v>0.5570949074074074</v>
      </c>
      <c r="C40" t="inlineStr">
        <is>
          <t>Garanti BBVA</t>
        </is>
      </c>
      <c r="D40" t="inlineStr">
        <is>
          <t>GRAM_ALTIN</t>
        </is>
      </c>
      <c r="E40" s="11" t="n">
        <v>6986.24</v>
      </c>
      <c r="F40" s="11" t="n">
        <v>7244.46</v>
      </c>
      <c r="G40" s="11">
        <f>IF(OR(E40="",F40=""),"",F40-E40)</f>
        <v/>
      </c>
      <c r="H40" s="12">
        <f>IFERROR(G40/E40,"")</f>
        <v/>
      </c>
      <c r="I40" s="13" t="inlineStr">
        <is>
          <t>OK</t>
        </is>
      </c>
      <c r="J40" s="14" t="inlineStr">
        <is>
          <t>https://altin.doviz.com/gram-altin</t>
        </is>
      </c>
      <c r="K40" s="11" t="n">
        <v>258.22</v>
      </c>
      <c r="L40" s="12" t="n">
        <v>0.03700000000000001</v>
      </c>
      <c r="M40" s="15" t="inlineStr"/>
      <c r="N40" s="10" t="n">
        <v>0.5575578703703704</v>
      </c>
    </row>
    <row r="41">
      <c r="A41" s="9" t="n">
        <v>46262</v>
      </c>
      <c r="B41" s="10" t="n">
        <v>0.5570949074074074</v>
      </c>
      <c r="C41" t="inlineStr">
        <is>
          <t>Getirfinans</t>
        </is>
      </c>
      <c r="D41" t="inlineStr">
        <is>
          <t>EURO</t>
        </is>
      </c>
      <c r="E41" s="11" t="n">
        <v>55.71</v>
      </c>
      <c r="F41" s="11" t="n">
        <v>56.3879</v>
      </c>
      <c r="G41" s="11">
        <f>IF(OR(E41="",F41=""),"",F41-E41)</f>
        <v/>
      </c>
      <c r="H41" s="12">
        <f>IFERROR(G41/E41,"")</f>
        <v/>
      </c>
      <c r="I41" s="13" t="inlineStr">
        <is>
          <t>OK</t>
        </is>
      </c>
      <c r="J41" s="14" t="inlineStr">
        <is>
          <t>https://kur.doviz.com/serbest-piyasa/euro</t>
        </is>
      </c>
      <c r="K41" s="11" t="n">
        <v>0.6778999999999999</v>
      </c>
      <c r="L41" s="12" t="n">
        <v>0.0122</v>
      </c>
      <c r="M41" s="15" t="inlineStr"/>
      <c r="N41" s="10" t="n">
        <v>0.5574074074074075</v>
      </c>
    </row>
    <row r="42">
      <c r="A42" s="9" t="n">
        <v>46262</v>
      </c>
      <c r="B42" s="10" t="n">
        <v>0.5570949074074074</v>
      </c>
      <c r="C42" t="inlineStr">
        <is>
          <t>Getirfinans</t>
        </is>
      </c>
      <c r="D42" t="inlineStr">
        <is>
          <t>DOLAR</t>
        </is>
      </c>
      <c r="E42" s="11" t="n">
        <v>47.8481</v>
      </c>
      <c r="F42" s="11" t="n">
        <v>48.4681</v>
      </c>
      <c r="G42" s="11">
        <f>IF(OR(E42="",F42=""),"",F42-E42)</f>
        <v/>
      </c>
      <c r="H42" s="12">
        <f>IFERROR(G42/E42,"")</f>
        <v/>
      </c>
      <c r="I42" s="13" t="inlineStr">
        <is>
          <t>OK</t>
        </is>
      </c>
      <c r="J42" s="14" t="inlineStr">
        <is>
          <t>https://kur.doviz.com/serbest-piyasa/amerikan-dolari</t>
        </is>
      </c>
      <c r="K42" s="11" t="n">
        <v>0.62</v>
      </c>
      <c r="L42" s="12" t="n">
        <v>0.013</v>
      </c>
      <c r="M42" s="15" t="inlineStr"/>
      <c r="N42" s="10" t="n">
        <v>0.5572569444444444</v>
      </c>
    </row>
    <row r="43">
      <c r="A43" s="9" t="n">
        <v>46262</v>
      </c>
      <c r="B43" s="10" t="n">
        <v>0.5570949074074074</v>
      </c>
      <c r="C43" t="inlineStr">
        <is>
          <t>Getirfinans</t>
        </is>
      </c>
      <c r="D43" t="inlineStr">
        <is>
          <t>GRAM_ALTIN</t>
        </is>
      </c>
      <c r="E43" s="11" t="n">
        <v>7091.41</v>
      </c>
      <c r="F43" s="11" t="n">
        <v>7147.85</v>
      </c>
      <c r="G43" s="11">
        <f>IF(OR(E43="",F43=""),"",F43-E43)</f>
        <v/>
      </c>
      <c r="H43" s="12">
        <f>IFERROR(G43/E43,"")</f>
        <v/>
      </c>
      <c r="I43" s="13" t="inlineStr">
        <is>
          <t>OK</t>
        </is>
      </c>
      <c r="J43" s="14" t="inlineStr">
        <is>
          <t>https://altin.doviz.com/gram-altin</t>
        </is>
      </c>
      <c r="K43" s="11" t="n">
        <v>56.44</v>
      </c>
      <c r="L43" s="12" t="n">
        <v>0.008</v>
      </c>
      <c r="M43" s="15" t="inlineStr"/>
      <c r="N43" s="10" t="n">
        <v>0.5575578703703704</v>
      </c>
    </row>
    <row r="44">
      <c r="A44" s="9" t="n">
        <v>46262</v>
      </c>
      <c r="B44" s="10" t="n">
        <v>0.5570949074074074</v>
      </c>
      <c r="C44" t="inlineStr">
        <is>
          <t>HSBC</t>
        </is>
      </c>
      <c r="D44" t="inlineStr">
        <is>
          <t>EURO</t>
        </is>
      </c>
      <c r="E44" s="11" t="n">
        <v>55.4777</v>
      </c>
      <c r="F44" s="11" t="n">
        <v>56.5449</v>
      </c>
      <c r="G44" s="11">
        <f>IF(OR(E44="",F44=""),"",F44-E44)</f>
        <v/>
      </c>
      <c r="H44" s="12">
        <f>IFERROR(G44/E44,"")</f>
        <v/>
      </c>
      <c r="I44" s="13" t="inlineStr">
        <is>
          <t>OK</t>
        </is>
      </c>
      <c r="J44" s="14" t="inlineStr">
        <is>
          <t>https://kur.doviz.com/serbest-piyasa/euro</t>
        </is>
      </c>
      <c r="K44" s="11" t="n">
        <v>1.0672</v>
      </c>
      <c r="L44" s="12" t="n">
        <v>0.0192</v>
      </c>
      <c r="M44" s="15" t="inlineStr"/>
      <c r="N44" s="10" t="n">
        <v>0.5574074074074075</v>
      </c>
    </row>
    <row r="45">
      <c r="A45" s="9" t="n">
        <v>46262</v>
      </c>
      <c r="B45" s="10" t="n">
        <v>0.5570949074074074</v>
      </c>
      <c r="C45" t="inlineStr">
        <is>
          <t>HSBC</t>
        </is>
      </c>
      <c r="D45" t="inlineStr">
        <is>
          <t>DOLAR</t>
        </is>
      </c>
      <c r="E45" s="11" t="n">
        <v>47.6572</v>
      </c>
      <c r="F45" s="11" t="n">
        <v>48.5572</v>
      </c>
      <c r="G45" s="11">
        <f>IF(OR(E45="",F45=""),"",F45-E45)</f>
        <v/>
      </c>
      <c r="H45" s="12">
        <f>IFERROR(G45/E45,"")</f>
        <v/>
      </c>
      <c r="I45" s="13" t="inlineStr">
        <is>
          <t>OK</t>
        </is>
      </c>
      <c r="J45" s="14" t="inlineStr">
        <is>
          <t>https://kur.doviz.com/serbest-piyasa/amerikan-dolari</t>
        </is>
      </c>
      <c r="K45" s="11" t="n">
        <v>0.9</v>
      </c>
      <c r="L45" s="12" t="n">
        <v>0.0189</v>
      </c>
      <c r="M45" s="15" t="inlineStr"/>
      <c r="N45" s="10" t="n">
        <v>0.5572569444444444</v>
      </c>
    </row>
    <row r="46">
      <c r="A46" s="9" t="n">
        <v>46262</v>
      </c>
      <c r="B46" s="10" t="n">
        <v>0.5570949074074074</v>
      </c>
      <c r="C46" t="inlineStr">
        <is>
          <t>HSBC</t>
        </is>
      </c>
      <c r="D46" t="inlineStr">
        <is>
          <t>GRAM_ALTIN</t>
        </is>
      </c>
      <c r="E46" s="11" t="n">
        <v>7021.83</v>
      </c>
      <c r="F46" s="11" t="n">
        <v>7469.98</v>
      </c>
      <c r="G46" s="11">
        <f>IF(OR(E46="",F46=""),"",F46-E46)</f>
        <v/>
      </c>
      <c r="H46" s="12">
        <f>IFERROR(G46/E46,"")</f>
        <v/>
      </c>
      <c r="I46" s="13" t="inlineStr">
        <is>
          <t>OK</t>
        </is>
      </c>
      <c r="J46" s="14" t="inlineStr">
        <is>
          <t>https://altin.doviz.com/gram-altin</t>
        </is>
      </c>
      <c r="K46" s="11" t="n">
        <v>448.15</v>
      </c>
      <c r="L46" s="12" t="n">
        <v>0.0638</v>
      </c>
      <c r="M46" s="15" t="inlineStr"/>
      <c r="N46" s="10" t="n">
        <v>0.5575578703703704</v>
      </c>
    </row>
    <row r="47">
      <c r="A47" s="9" t="n">
        <v>46262</v>
      </c>
      <c r="B47" s="10" t="n">
        <v>0.5570949074074074</v>
      </c>
      <c r="C47" t="inlineStr">
        <is>
          <t>Halkbank</t>
        </is>
      </c>
      <c r="D47" t="inlineStr">
        <is>
          <t>EURO</t>
        </is>
      </c>
      <c r="E47" s="11" t="n">
        <v>55.5614</v>
      </c>
      <c r="F47" s="11" t="n">
        <v>56.7024</v>
      </c>
      <c r="G47" s="11">
        <f>IF(OR(E47="",F47=""),"",F47-E47)</f>
        <v/>
      </c>
      <c r="H47" s="12">
        <f>IFERROR(G47/E47,"")</f>
        <v/>
      </c>
      <c r="I47" s="13" t="inlineStr">
        <is>
          <t>OK</t>
        </is>
      </c>
      <c r="J47" s="14" t="inlineStr">
        <is>
          <t>https://kur.doviz.com/serbest-piyasa/euro</t>
        </is>
      </c>
      <c r="K47" s="11" t="n">
        <v>1.141</v>
      </c>
      <c r="L47" s="12" t="n">
        <v>0.0205</v>
      </c>
      <c r="M47" s="15" t="inlineStr"/>
      <c r="N47" s="10" t="n">
        <v>0.5574074074074075</v>
      </c>
    </row>
    <row r="48">
      <c r="A48" s="9" t="n">
        <v>46262</v>
      </c>
      <c r="B48" s="10" t="n">
        <v>0.5570949074074074</v>
      </c>
      <c r="C48" t="inlineStr">
        <is>
          <t>Halkbank</t>
        </is>
      </c>
      <c r="D48" t="inlineStr">
        <is>
          <t>DOLAR</t>
        </is>
      </c>
      <c r="E48" s="11" t="n">
        <v>47.725</v>
      </c>
      <c r="F48" s="11" t="n">
        <v>48.705</v>
      </c>
      <c r="G48" s="11">
        <f>IF(OR(E48="",F48=""),"",F48-E48)</f>
        <v/>
      </c>
      <c r="H48" s="12">
        <f>IFERROR(G48/E48,"")</f>
        <v/>
      </c>
      <c r="I48" s="13" t="inlineStr">
        <is>
          <t>OK</t>
        </is>
      </c>
      <c r="J48" s="14" t="inlineStr">
        <is>
          <t>https://kur.doviz.com/serbest-piyasa/amerikan-dolari</t>
        </is>
      </c>
      <c r="K48" s="11" t="n">
        <v>0.98</v>
      </c>
      <c r="L48" s="12" t="n">
        <v>0.0205</v>
      </c>
      <c r="M48" s="15" t="inlineStr"/>
      <c r="N48" s="10" t="n">
        <v>0.5572569444444444</v>
      </c>
    </row>
    <row r="49">
      <c r="A49" s="9" t="n">
        <v>46262</v>
      </c>
      <c r="B49" s="10" t="n">
        <v>0.5570949074074074</v>
      </c>
      <c r="C49" t="inlineStr">
        <is>
          <t>Halkbank</t>
        </is>
      </c>
      <c r="D49" t="inlineStr">
        <is>
          <t>GRAM_ALTIN</t>
        </is>
      </c>
      <c r="E49" s="11" t="n">
        <v>7021.06</v>
      </c>
      <c r="F49" s="11" t="n">
        <v>7237.17</v>
      </c>
      <c r="G49" s="11">
        <f>IF(OR(E49="",F49=""),"",F49-E49)</f>
        <v/>
      </c>
      <c r="H49" s="12">
        <f>IFERROR(G49/E49,"")</f>
        <v/>
      </c>
      <c r="I49" s="13" t="inlineStr">
        <is>
          <t>OK</t>
        </is>
      </c>
      <c r="J49" s="14" t="inlineStr">
        <is>
          <t>https://altin.doviz.com/gram-altin</t>
        </is>
      </c>
      <c r="K49" s="11" t="n">
        <v>216.11</v>
      </c>
      <c r="L49" s="12" t="n">
        <v>0.0308</v>
      </c>
      <c r="M49" s="15" t="inlineStr"/>
      <c r="N49" s="10" t="n">
        <v>0.5575578703703704</v>
      </c>
    </row>
    <row r="50">
      <c r="A50" s="9" t="n">
        <v>46262</v>
      </c>
      <c r="B50" s="10" t="n">
        <v>0.5570949074074074</v>
      </c>
      <c r="C50" t="inlineStr">
        <is>
          <t>Harem</t>
        </is>
      </c>
      <c r="D50" t="inlineStr">
        <is>
          <t>EURO</t>
        </is>
      </c>
      <c r="E50" s="11" t="n">
        <v>55.791</v>
      </c>
      <c r="F50" s="11" t="n">
        <v>55.979</v>
      </c>
      <c r="G50" s="11">
        <f>IF(OR(E50="",F50=""),"",F50-E50)</f>
        <v/>
      </c>
      <c r="H50" s="12">
        <f>IFERROR(G50/E50,"")</f>
        <v/>
      </c>
      <c r="I50" s="13" t="inlineStr">
        <is>
          <t>OK</t>
        </is>
      </c>
      <c r="J50" s="14" t="inlineStr">
        <is>
          <t>https://kur.doviz.com/serbest-piyasa/euro</t>
        </is>
      </c>
      <c r="K50" s="11" t="n">
        <v>0.188</v>
      </c>
      <c r="L50" s="12" t="n">
        <v>0.0034</v>
      </c>
      <c r="M50" s="15" t="inlineStr"/>
      <c r="N50" s="10" t="n">
        <v>0.5574074074074075</v>
      </c>
    </row>
    <row r="51">
      <c r="A51" s="9" t="n">
        <v>46262</v>
      </c>
      <c r="B51" s="10" t="n">
        <v>0.5570949074074074</v>
      </c>
      <c r="C51" t="inlineStr">
        <is>
          <t>Harem</t>
        </is>
      </c>
      <c r="D51" t="inlineStr">
        <is>
          <t>DOLAR</t>
        </is>
      </c>
      <c r="E51" s="11" t="n">
        <v>48.0408</v>
      </c>
      <c r="F51" s="11" t="n">
        <v>48.1248</v>
      </c>
      <c r="G51" s="11">
        <f>IF(OR(E51="",F51=""),"",F51-E51)</f>
        <v/>
      </c>
      <c r="H51" s="12">
        <f>IFERROR(G51/E51,"")</f>
        <v/>
      </c>
      <c r="I51" s="13" t="inlineStr">
        <is>
          <t>OK</t>
        </is>
      </c>
      <c r="J51" s="14" t="inlineStr">
        <is>
          <t>https://kur.doviz.com/serbest-piyasa/amerikan-dolari</t>
        </is>
      </c>
      <c r="K51" s="11" t="n">
        <v>0.08400000000000001</v>
      </c>
      <c r="L51" s="12" t="n">
        <v>0.0017</v>
      </c>
      <c r="M51" s="15" t="inlineStr"/>
      <c r="N51" s="10" t="n">
        <v>0.5572569444444444</v>
      </c>
    </row>
    <row r="52">
      <c r="A52" s="9" t="n">
        <v>46262</v>
      </c>
      <c r="B52" s="10" t="n">
        <v>0.5570949074074074</v>
      </c>
      <c r="C52" t="inlineStr">
        <is>
          <t>Harem</t>
        </is>
      </c>
      <c r="D52" t="inlineStr">
        <is>
          <t>GRAM_ALTIN</t>
        </is>
      </c>
      <c r="E52" s="11" t="n">
        <v>7036.2</v>
      </c>
      <c r="F52" s="11" t="n">
        <v>7110.18</v>
      </c>
      <c r="G52" s="11">
        <f>IF(OR(E52="",F52=""),"",F52-E52)</f>
        <v/>
      </c>
      <c r="H52" s="12">
        <f>IFERROR(G52/E52,"")</f>
        <v/>
      </c>
      <c r="I52" s="13" t="inlineStr">
        <is>
          <t>OK</t>
        </is>
      </c>
      <c r="J52" s="14" t="inlineStr">
        <is>
          <t>https://altin.doviz.com/gram-altin</t>
        </is>
      </c>
      <c r="K52" s="11" t="n">
        <v>73.98</v>
      </c>
      <c r="L52" s="12" t="n">
        <v>0.0105</v>
      </c>
      <c r="M52" s="15" t="inlineStr"/>
      <c r="N52" s="10" t="n">
        <v>0.5575578703703704</v>
      </c>
    </row>
    <row r="53">
      <c r="A53" s="9" t="n">
        <v>46262</v>
      </c>
      <c r="B53" s="10" t="n">
        <v>0.5570949074074074</v>
      </c>
      <c r="C53" t="inlineStr">
        <is>
          <t>Hayat Finans</t>
        </is>
      </c>
      <c r="D53" t="inlineStr">
        <is>
          <t>EURO</t>
        </is>
      </c>
      <c r="E53" s="11" t="n">
        <v>55.9603</v>
      </c>
      <c r="F53" s="11" t="n">
        <v>56.2846</v>
      </c>
      <c r="G53" s="11">
        <f>IF(OR(E53="",F53=""),"",F53-E53)</f>
        <v/>
      </c>
      <c r="H53" s="12">
        <f>IFERROR(G53/E53,"")</f>
        <v/>
      </c>
      <c r="I53" s="13" t="inlineStr">
        <is>
          <t>OK</t>
        </is>
      </c>
      <c r="J53" s="14" t="inlineStr">
        <is>
          <t>https://kur.doviz.com/serbest-piyasa/euro</t>
        </is>
      </c>
      <c r="K53" s="11" t="n">
        <v>0.3243</v>
      </c>
      <c r="L53" s="12" t="n">
        <v>0.0058</v>
      </c>
      <c r="M53" s="15" t="inlineStr"/>
      <c r="N53" s="10" t="n">
        <v>0.5574074074074075</v>
      </c>
    </row>
    <row r="54">
      <c r="A54" s="9" t="n">
        <v>46262</v>
      </c>
      <c r="B54" s="10" t="n">
        <v>0.5570949074074074</v>
      </c>
      <c r="C54" t="inlineStr">
        <is>
          <t>Hayat Finans</t>
        </is>
      </c>
      <c r="D54" t="inlineStr">
        <is>
          <t>DOLAR</t>
        </is>
      </c>
      <c r="E54" s="11" t="n">
        <v>48.0758</v>
      </c>
      <c r="F54" s="11" t="n">
        <v>48.3543</v>
      </c>
      <c r="G54" s="11">
        <f>IF(OR(E54="",F54=""),"",F54-E54)</f>
        <v/>
      </c>
      <c r="H54" s="12">
        <f>IFERROR(G54/E54,"")</f>
        <v/>
      </c>
      <c r="I54" s="13" t="inlineStr">
        <is>
          <t>OK</t>
        </is>
      </c>
      <c r="J54" s="14" t="inlineStr">
        <is>
          <t>https://kur.doviz.com/serbest-piyasa/amerikan-dolari</t>
        </is>
      </c>
      <c r="K54" s="11" t="n">
        <v>0.2784</v>
      </c>
      <c r="L54" s="12" t="n">
        <v>0.0058</v>
      </c>
      <c r="M54" s="15" t="inlineStr"/>
      <c r="N54" s="10" t="n">
        <v>0.5572569444444444</v>
      </c>
    </row>
    <row r="55">
      <c r="A55" s="9" t="n">
        <v>46262</v>
      </c>
      <c r="B55" s="10" t="n">
        <v>0.5570949074074074</v>
      </c>
      <c r="C55" t="inlineStr">
        <is>
          <t>Hayat Finans</t>
        </is>
      </c>
      <c r="D55" t="inlineStr">
        <is>
          <t>GRAM_ALTIN</t>
        </is>
      </c>
      <c r="E55" s="11" t="n">
        <v>7063.03</v>
      </c>
      <c r="F55" s="11" t="n">
        <v>7202.62</v>
      </c>
      <c r="G55" s="11">
        <f>IF(OR(E55="",F55=""),"",F55-E55)</f>
        <v/>
      </c>
      <c r="H55" s="12">
        <f>IFERROR(G55/E55,"")</f>
        <v/>
      </c>
      <c r="I55" s="13" t="inlineStr">
        <is>
          <t>OK</t>
        </is>
      </c>
      <c r="J55" s="14" t="inlineStr">
        <is>
          <t>https://altin.doviz.com/gram-altin</t>
        </is>
      </c>
      <c r="K55" s="11" t="n">
        <v>139.59</v>
      </c>
      <c r="L55" s="12" t="n">
        <v>0.0198</v>
      </c>
      <c r="M55" s="15" t="inlineStr"/>
      <c r="N55" s="10" t="n">
        <v>0.5575578703703704</v>
      </c>
    </row>
    <row r="56">
      <c r="A56" s="9" t="n">
        <v>46262</v>
      </c>
      <c r="B56" s="10" t="n">
        <v>0.5570949074074074</v>
      </c>
      <c r="C56" t="inlineStr">
        <is>
          <t>Hepsipay</t>
        </is>
      </c>
      <c r="D56" t="inlineStr">
        <is>
          <t>GRAM_ALTIN</t>
        </is>
      </c>
      <c r="E56" s="11" t="n">
        <v>7043.92</v>
      </c>
      <c r="F56" s="11" t="n">
        <v>7247.4</v>
      </c>
      <c r="G56" s="11">
        <f>IF(OR(E56="",F56=""),"",F56-E56)</f>
        <v/>
      </c>
      <c r="H56" s="12">
        <f>IFERROR(G56/E56,"")</f>
        <v/>
      </c>
      <c r="I56" s="13" t="inlineStr">
        <is>
          <t>OK</t>
        </is>
      </c>
      <c r="J56" s="14" t="inlineStr">
        <is>
          <t>https://altin.doviz.com/gram-altin</t>
        </is>
      </c>
      <c r="K56" s="11" t="n">
        <v>203.48</v>
      </c>
      <c r="L56" s="12" t="n">
        <v>0.0289</v>
      </c>
      <c r="M56" s="15" t="inlineStr"/>
      <c r="N56" s="10" t="n">
        <v>0.5575578703703704</v>
      </c>
    </row>
    <row r="57">
      <c r="A57" s="9" t="n">
        <v>46262</v>
      </c>
      <c r="B57" s="10" t="n">
        <v>0.5570949074074074</v>
      </c>
      <c r="C57" t="inlineStr">
        <is>
          <t>ING Bank</t>
        </is>
      </c>
      <c r="D57" t="inlineStr">
        <is>
          <t>EURO</t>
        </is>
      </c>
      <c r="E57" s="11" t="n">
        <v>55.4961</v>
      </c>
      <c r="F57" s="11" t="n">
        <v>56.5077</v>
      </c>
      <c r="G57" s="11">
        <f>IF(OR(E57="",F57=""),"",F57-E57)</f>
        <v/>
      </c>
      <c r="H57" s="12">
        <f>IFERROR(G57/E57,"")</f>
        <v/>
      </c>
      <c r="I57" s="13" t="inlineStr">
        <is>
          <t>OK</t>
        </is>
      </c>
      <c r="J57" s="14" t="inlineStr">
        <is>
          <t>https://kur.doviz.com/serbest-piyasa/euro</t>
        </is>
      </c>
      <c r="K57" s="11" t="n">
        <v>1.0116</v>
      </c>
      <c r="L57" s="12" t="n">
        <v>0.0182</v>
      </c>
      <c r="M57" s="15" t="inlineStr"/>
      <c r="N57" s="10" t="n">
        <v>0.5574074074074075</v>
      </c>
    </row>
    <row r="58">
      <c r="A58" s="9" t="n">
        <v>46262</v>
      </c>
      <c r="B58" s="10" t="n">
        <v>0.5570949074074074</v>
      </c>
      <c r="C58" t="inlineStr">
        <is>
          <t>ING Bank</t>
        </is>
      </c>
      <c r="D58" t="inlineStr">
        <is>
          <t>DOLAR</t>
        </is>
      </c>
      <c r="E58" s="11" t="n">
        <v>47.6091</v>
      </c>
      <c r="F58" s="11" t="n">
        <v>48.6147</v>
      </c>
      <c r="G58" s="11">
        <f>IF(OR(E58="",F58=""),"",F58-E58)</f>
        <v/>
      </c>
      <c r="H58" s="12">
        <f>IFERROR(G58/E58,"")</f>
        <v/>
      </c>
      <c r="I58" s="13" t="inlineStr">
        <is>
          <t>OK</t>
        </is>
      </c>
      <c r="J58" s="14" t="inlineStr">
        <is>
          <t>https://kur.doviz.com/serbest-piyasa/amerikan-dolari</t>
        </is>
      </c>
      <c r="K58" s="11" t="n">
        <v>1.0056</v>
      </c>
      <c r="L58" s="12" t="n">
        <v>0.0211</v>
      </c>
      <c r="M58" s="15" t="inlineStr"/>
      <c r="N58" s="10" t="n">
        <v>0.5572569444444444</v>
      </c>
    </row>
    <row r="59">
      <c r="A59" s="9" t="n">
        <v>46262</v>
      </c>
      <c r="B59" s="10" t="n">
        <v>0.5570949074074074</v>
      </c>
      <c r="C59" t="inlineStr">
        <is>
          <t>ING Bank</t>
        </is>
      </c>
      <c r="D59" t="inlineStr">
        <is>
          <t>GRAM_ALTIN</t>
        </is>
      </c>
      <c r="E59" s="11" t="n">
        <v>6993.62</v>
      </c>
      <c r="F59" s="11" t="n">
        <v>7246.14</v>
      </c>
      <c r="G59" s="11">
        <f>IF(OR(E59="",F59=""),"",F59-E59)</f>
        <v/>
      </c>
      <c r="H59" s="12">
        <f>IFERROR(G59/E59,"")</f>
        <v/>
      </c>
      <c r="I59" s="13" t="inlineStr">
        <is>
          <t>OK</t>
        </is>
      </c>
      <c r="J59" s="14" t="inlineStr">
        <is>
          <t>https://altin.doviz.com/gram-altin</t>
        </is>
      </c>
      <c r="K59" s="11" t="n">
        <v>252.51</v>
      </c>
      <c r="L59" s="12" t="n">
        <v>0.0361</v>
      </c>
      <c r="M59" s="15" t="inlineStr"/>
      <c r="N59" s="10" t="n">
        <v>0.5575578703703704</v>
      </c>
    </row>
    <row r="60">
      <c r="A60" s="9" t="n">
        <v>46262</v>
      </c>
      <c r="B60" s="10" t="n">
        <v>0.5570949074074074</v>
      </c>
      <c r="C60" t="inlineStr">
        <is>
          <t>Kapalıçarşı</t>
        </is>
      </c>
      <c r="D60" t="inlineStr">
        <is>
          <t>EURO</t>
        </is>
      </c>
      <c r="E60" s="11" t="n">
        <v>55.85</v>
      </c>
      <c r="F60" s="11" t="n">
        <v>55.9</v>
      </c>
      <c r="G60" s="11">
        <f>IF(OR(E60="",F60=""),"",F60-E60)</f>
        <v/>
      </c>
      <c r="H60" s="12">
        <f>IFERROR(G60/E60,"")</f>
        <v/>
      </c>
      <c r="I60" s="13" t="inlineStr">
        <is>
          <t>OK</t>
        </is>
      </c>
      <c r="J60" s="14" t="inlineStr">
        <is>
          <t>https://kur.doviz.com/serbest-piyasa/euro</t>
        </is>
      </c>
      <c r="K60" s="11" t="n">
        <v>0.05</v>
      </c>
      <c r="L60" s="12" t="n">
        <v>0.0009</v>
      </c>
      <c r="M60" s="15" t="inlineStr"/>
      <c r="N60" s="10" t="n">
        <v>0.5574074074074075</v>
      </c>
    </row>
    <row r="61">
      <c r="A61" s="9" t="n">
        <v>46262</v>
      </c>
      <c r="B61" s="10" t="n">
        <v>0.5570949074074074</v>
      </c>
      <c r="C61" t="inlineStr">
        <is>
          <t>Kapalıçarşı</t>
        </is>
      </c>
      <c r="D61" t="inlineStr">
        <is>
          <t>DOLAR</t>
        </is>
      </c>
      <c r="E61" s="11" t="n">
        <v>48.06</v>
      </c>
      <c r="F61" s="11" t="n">
        <v>48.07</v>
      </c>
      <c r="G61" s="11">
        <f>IF(OR(E61="",F61=""),"",F61-E61)</f>
        <v/>
      </c>
      <c r="H61" s="12">
        <f>IFERROR(G61/E61,"")</f>
        <v/>
      </c>
      <c r="I61" s="13" t="inlineStr">
        <is>
          <t>OK</t>
        </is>
      </c>
      <c r="J61" s="14" t="inlineStr">
        <is>
          <t>https://kur.doviz.com/serbest-piyasa/amerikan-dolari</t>
        </is>
      </c>
      <c r="K61" s="11" t="n">
        <v>0.01</v>
      </c>
      <c r="L61" s="12" t="n">
        <v>0.0002</v>
      </c>
      <c r="M61" s="15" t="inlineStr"/>
      <c r="N61" s="10" t="n">
        <v>0.5572569444444444</v>
      </c>
    </row>
    <row r="62">
      <c r="A62" s="9" t="n">
        <v>46262</v>
      </c>
      <c r="B62" s="10" t="n">
        <v>0.5570949074074074</v>
      </c>
      <c r="C62" t="inlineStr">
        <is>
          <t>Kapalıçarşı</t>
        </is>
      </c>
      <c r="D62" t="inlineStr">
        <is>
          <t>GRAM_ALTIN</t>
        </is>
      </c>
      <c r="E62" s="11" t="n">
        <v>7085.83</v>
      </c>
      <c r="F62" s="11" t="n">
        <v>7092.14</v>
      </c>
      <c r="G62" s="11">
        <f>IF(OR(E62="",F62=""),"",F62-E62)</f>
        <v/>
      </c>
      <c r="H62" s="12">
        <f>IFERROR(G62/E62,"")</f>
        <v/>
      </c>
      <c r="I62" s="13" t="inlineStr">
        <is>
          <t>OK</t>
        </is>
      </c>
      <c r="J62" s="14" t="inlineStr">
        <is>
          <t>https://altin.doviz.com/gram-altin</t>
        </is>
      </c>
      <c r="K62" s="11" t="n">
        <v>6.31</v>
      </c>
      <c r="L62" s="12" t="n">
        <v>0.0009</v>
      </c>
      <c r="M62" s="15" t="inlineStr"/>
      <c r="N62" s="10" t="n">
        <v>0.5575578703703704</v>
      </c>
    </row>
    <row r="63">
      <c r="A63" s="9" t="n">
        <v>46262</v>
      </c>
      <c r="B63" s="10" t="n">
        <v>0.5570949074074074</v>
      </c>
      <c r="C63" t="inlineStr">
        <is>
          <t>Kuveyt Türk</t>
        </is>
      </c>
      <c r="D63" t="inlineStr">
        <is>
          <t>EURO</t>
        </is>
      </c>
      <c r="E63" s="11" t="n">
        <v>55.2381</v>
      </c>
      <c r="F63" s="11" t="n">
        <v>56.4231</v>
      </c>
      <c r="G63" s="11">
        <f>IF(OR(E63="",F63=""),"",F63-E63)</f>
        <v/>
      </c>
      <c r="H63" s="12">
        <f>IFERROR(G63/E63,"")</f>
        <v/>
      </c>
      <c r="I63" s="13" t="inlineStr">
        <is>
          <t>OK</t>
        </is>
      </c>
      <c r="J63" s="14" t="inlineStr">
        <is>
          <t>https://kur.doviz.com/serbest-piyasa/euro</t>
        </is>
      </c>
      <c r="K63" s="11" t="n">
        <v>1.185</v>
      </c>
      <c r="L63" s="12" t="n">
        <v>0.0215</v>
      </c>
      <c r="M63" s="15" t="inlineStr"/>
      <c r="N63" s="10" t="n">
        <v>0.5574074074074075</v>
      </c>
    </row>
    <row r="64">
      <c r="A64" s="9" t="n">
        <v>46262</v>
      </c>
      <c r="B64" s="10" t="n">
        <v>0.5570949074074074</v>
      </c>
      <c r="C64" t="inlineStr">
        <is>
          <t>Kuveyt Türk</t>
        </is>
      </c>
      <c r="D64" t="inlineStr">
        <is>
          <t>DOLAR</t>
        </is>
      </c>
      <c r="E64" s="11" t="n">
        <v>47.4538</v>
      </c>
      <c r="F64" s="11" t="n">
        <v>48.4713</v>
      </c>
      <c r="G64" s="11">
        <f>IF(OR(E64="",F64=""),"",F64-E64)</f>
        <v/>
      </c>
      <c r="H64" s="12">
        <f>IFERROR(G64/E64,"")</f>
        <v/>
      </c>
      <c r="I64" s="13" t="inlineStr">
        <is>
          <t>OK</t>
        </is>
      </c>
      <c r="J64" s="14" t="inlineStr">
        <is>
          <t>https://kur.doviz.com/serbest-piyasa/amerikan-dolari</t>
        </is>
      </c>
      <c r="K64" s="11" t="n">
        <v>1.0176</v>
      </c>
      <c r="L64" s="12" t="n">
        <v>0.0214</v>
      </c>
      <c r="M64" s="15" t="inlineStr"/>
      <c r="N64" s="10" t="n">
        <v>0.5572569444444444</v>
      </c>
    </row>
    <row r="65">
      <c r="A65" s="9" t="n">
        <v>46262</v>
      </c>
      <c r="B65" s="10" t="n">
        <v>0.5570949074074074</v>
      </c>
      <c r="C65" t="inlineStr">
        <is>
          <t>Kuveyt Türk</t>
        </is>
      </c>
      <c r="D65" t="inlineStr">
        <is>
          <t>GRAM_ALTIN</t>
        </is>
      </c>
      <c r="E65" s="11" t="n">
        <v>6966.83</v>
      </c>
      <c r="F65" s="11" t="n">
        <v>7151.86</v>
      </c>
      <c r="G65" s="11">
        <f>IF(OR(E65="",F65=""),"",F65-E65)</f>
        <v/>
      </c>
      <c r="H65" s="12">
        <f>IFERROR(G65/E65,"")</f>
        <v/>
      </c>
      <c r="I65" s="13" t="inlineStr">
        <is>
          <t>OK</t>
        </is>
      </c>
      <c r="J65" s="14" t="inlineStr">
        <is>
          <t>https://altin.doviz.com/gram-altin</t>
        </is>
      </c>
      <c r="K65" s="11" t="n">
        <v>185.04</v>
      </c>
      <c r="L65" s="12" t="n">
        <v>0.0266</v>
      </c>
      <c r="M65" s="15" t="inlineStr"/>
      <c r="N65" s="10" t="n">
        <v>0.5575578703703704</v>
      </c>
    </row>
    <row r="66">
      <c r="A66" s="9" t="n">
        <v>46262</v>
      </c>
      <c r="B66" s="10" t="n">
        <v>0.5570949074074074</v>
      </c>
      <c r="C66" t="inlineStr">
        <is>
          <t>Merkez Bankası</t>
        </is>
      </c>
      <c r="D66" t="inlineStr">
        <is>
          <t>EURO</t>
        </is>
      </c>
      <c r="E66" s="11" t="n">
        <v>55.9574</v>
      </c>
      <c r="F66" s="11" t="n">
        <v>56.0582</v>
      </c>
      <c r="G66" s="11">
        <f>IF(OR(E66="",F66=""),"",F66-E66)</f>
        <v/>
      </c>
      <c r="H66" s="12">
        <f>IFERROR(G66/E66,"")</f>
        <v/>
      </c>
      <c r="I66" s="13" t="inlineStr">
        <is>
          <t>OK</t>
        </is>
      </c>
      <c r="J66" s="14" t="inlineStr">
        <is>
          <t>https://kur.doviz.com/serbest-piyasa/euro</t>
        </is>
      </c>
      <c r="K66" s="11" t="n">
        <v>0.1008</v>
      </c>
      <c r="L66" s="12" t="n">
        <v>0.0018</v>
      </c>
      <c r="M66" s="15" t="inlineStr"/>
      <c r="N66" s="10" t="n">
        <v>0.5574074074074075</v>
      </c>
    </row>
    <row r="67">
      <c r="A67" s="9" t="n">
        <v>46262</v>
      </c>
      <c r="B67" s="10" t="n">
        <v>0.5570949074074074</v>
      </c>
      <c r="C67" t="inlineStr">
        <is>
          <t>Merkez Bankası</t>
        </is>
      </c>
      <c r="D67" t="inlineStr">
        <is>
          <t>DOLAR</t>
        </is>
      </c>
      <c r="E67" s="11" t="n">
        <v>48.0466</v>
      </c>
      <c r="F67" s="11" t="n">
        <v>48.1331</v>
      </c>
      <c r="G67" s="11">
        <f>IF(OR(E67="",F67=""),"",F67-E67)</f>
        <v/>
      </c>
      <c r="H67" s="12">
        <f>IFERROR(G67/E67,"")</f>
        <v/>
      </c>
      <c r="I67" s="13" t="inlineStr">
        <is>
          <t>OK</t>
        </is>
      </c>
      <c r="J67" s="14" t="inlineStr">
        <is>
          <t>https://kur.doviz.com/serbest-piyasa/amerikan-dolari</t>
        </is>
      </c>
      <c r="K67" s="11" t="n">
        <v>0.08649999999999999</v>
      </c>
      <c r="L67" s="12" t="n">
        <v>0.0018</v>
      </c>
      <c r="M67" s="15" t="inlineStr"/>
      <c r="N67" s="10" t="n">
        <v>0.5572569444444444</v>
      </c>
    </row>
    <row r="68">
      <c r="A68" s="9" t="n">
        <v>46262</v>
      </c>
      <c r="B68" s="10" t="n">
        <v>0.5570949074074074</v>
      </c>
      <c r="C68" t="inlineStr">
        <is>
          <t>Misyon Bank</t>
        </is>
      </c>
      <c r="D68" t="inlineStr">
        <is>
          <t>EURO</t>
        </is>
      </c>
      <c r="E68" s="11" t="n">
        <v>55.9505</v>
      </c>
      <c r="F68" s="11" t="n">
        <v>56.0404</v>
      </c>
      <c r="G68" s="11">
        <f>IF(OR(E68="",F68=""),"",F68-E68)</f>
        <v/>
      </c>
      <c r="H68" s="12">
        <f>IFERROR(G68/E68,"")</f>
        <v/>
      </c>
      <c r="I68" s="13" t="inlineStr">
        <is>
          <t>OK</t>
        </is>
      </c>
      <c r="J68" s="14" t="inlineStr">
        <is>
          <t>https://kur.doviz.com/serbest-piyasa/euro</t>
        </is>
      </c>
      <c r="K68" s="11" t="n">
        <v>0.08989999999999999</v>
      </c>
      <c r="L68" s="12" t="n">
        <v>0.0016</v>
      </c>
      <c r="M68" s="15" t="inlineStr"/>
      <c r="N68" s="10" t="n">
        <v>0.5574074074074075</v>
      </c>
    </row>
    <row r="69">
      <c r="A69" s="9" t="n">
        <v>46262</v>
      </c>
      <c r="B69" s="10" t="n">
        <v>0.5570949074074074</v>
      </c>
      <c r="C69" t="inlineStr">
        <is>
          <t>Misyon Bank</t>
        </is>
      </c>
      <c r="D69" t="inlineStr">
        <is>
          <t>DOLAR</t>
        </is>
      </c>
      <c r="E69" s="11" t="n">
        <v>48.0811</v>
      </c>
      <c r="F69" s="11" t="n">
        <v>48.1424</v>
      </c>
      <c r="G69" s="11">
        <f>IF(OR(E69="",F69=""),"",F69-E69)</f>
        <v/>
      </c>
      <c r="H69" s="12">
        <f>IFERROR(G69/E69,"")</f>
        <v/>
      </c>
      <c r="I69" s="13" t="inlineStr">
        <is>
          <t>OK</t>
        </is>
      </c>
      <c r="J69" s="14" t="inlineStr">
        <is>
          <t>https://kur.doviz.com/serbest-piyasa/amerikan-dolari</t>
        </is>
      </c>
      <c r="K69" s="11" t="n">
        <v>0.0613</v>
      </c>
      <c r="L69" s="12" t="n">
        <v>0.0013</v>
      </c>
      <c r="M69" s="15" t="inlineStr"/>
      <c r="N69" s="10" t="n">
        <v>0.5572569444444444</v>
      </c>
    </row>
    <row r="70">
      <c r="A70" s="9" t="n">
        <v>46262</v>
      </c>
      <c r="B70" s="10" t="n">
        <v>0.5570949074074074</v>
      </c>
      <c r="C70" t="inlineStr">
        <is>
          <t>Misyon Bank</t>
        </is>
      </c>
      <c r="D70" t="inlineStr">
        <is>
          <t>GRAM_ALTIN</t>
        </is>
      </c>
      <c r="E70" s="11" t="n">
        <v>7081.77</v>
      </c>
      <c r="F70" s="11" t="n">
        <v>7113.29</v>
      </c>
      <c r="G70" s="11">
        <f>IF(OR(E70="",F70=""),"",F70-E70)</f>
        <v/>
      </c>
      <c r="H70" s="12">
        <f>IFERROR(G70/E70,"")</f>
        <v/>
      </c>
      <c r="I70" s="13" t="inlineStr">
        <is>
          <t>OK</t>
        </is>
      </c>
      <c r="J70" s="14" t="inlineStr">
        <is>
          <t>https://altin.doviz.com/gram-altin</t>
        </is>
      </c>
      <c r="K70" s="11" t="n">
        <v>31.52</v>
      </c>
      <c r="L70" s="12" t="n">
        <v>0.004500000000000001</v>
      </c>
      <c r="M70" s="15" t="inlineStr"/>
      <c r="N70" s="10" t="n">
        <v>0.5575578703703704</v>
      </c>
    </row>
    <row r="71">
      <c r="A71" s="9" t="n">
        <v>46262</v>
      </c>
      <c r="B71" s="10" t="n">
        <v>0.5570949074074074</v>
      </c>
      <c r="C71" t="inlineStr">
        <is>
          <t>Odacı</t>
        </is>
      </c>
      <c r="D71" t="inlineStr">
        <is>
          <t>EURO</t>
        </is>
      </c>
      <c r="E71" s="11" t="n">
        <v>55.831</v>
      </c>
      <c r="F71" s="11" t="n">
        <v>56.034</v>
      </c>
      <c r="G71" s="11">
        <f>IF(OR(E71="",F71=""),"",F71-E71)</f>
        <v/>
      </c>
      <c r="H71" s="12">
        <f>IFERROR(G71/E71,"")</f>
        <v/>
      </c>
      <c r="I71" s="13" t="inlineStr">
        <is>
          <t>OK</t>
        </is>
      </c>
      <c r="J71" s="14" t="inlineStr">
        <is>
          <t>https://kur.doviz.com/serbest-piyasa/euro</t>
        </is>
      </c>
      <c r="K71" s="11" t="n">
        <v>0.203</v>
      </c>
      <c r="L71" s="12" t="n">
        <v>0.0036</v>
      </c>
      <c r="M71" s="15" t="inlineStr"/>
      <c r="N71" s="10" t="n">
        <v>0.5574074074074075</v>
      </c>
    </row>
    <row r="72">
      <c r="A72" s="9" t="n">
        <v>46262</v>
      </c>
      <c r="B72" s="10" t="n">
        <v>0.5570949074074074</v>
      </c>
      <c r="C72" t="inlineStr">
        <is>
          <t>Odacı</t>
        </is>
      </c>
      <c r="D72" t="inlineStr">
        <is>
          <t>DOLAR</t>
        </is>
      </c>
      <c r="E72" s="11" t="n">
        <v>48.05</v>
      </c>
      <c r="F72" s="11" t="n">
        <v>48.186</v>
      </c>
      <c r="G72" s="11">
        <f>IF(OR(E72="",F72=""),"",F72-E72)</f>
        <v/>
      </c>
      <c r="H72" s="12">
        <f>IFERROR(G72/E72,"")</f>
        <v/>
      </c>
      <c r="I72" s="13" t="inlineStr">
        <is>
          <t>OK</t>
        </is>
      </c>
      <c r="J72" s="14" t="inlineStr">
        <is>
          <t>https://kur.doviz.com/serbest-piyasa/amerikan-dolari</t>
        </is>
      </c>
      <c r="K72" s="11" t="n">
        <v>0.136</v>
      </c>
      <c r="L72" s="12" t="n">
        <v>0.0028</v>
      </c>
      <c r="M72" s="15" t="inlineStr"/>
      <c r="N72" s="10" t="n">
        <v>0.5572569444444444</v>
      </c>
    </row>
    <row r="73">
      <c r="A73" s="9" t="n">
        <v>46262</v>
      </c>
      <c r="B73" s="10" t="n">
        <v>0.5570949074074074</v>
      </c>
      <c r="C73" t="inlineStr">
        <is>
          <t>Odacı</t>
        </is>
      </c>
      <c r="D73" t="inlineStr">
        <is>
          <t>GRAM_ALTIN</t>
        </is>
      </c>
      <c r="E73" s="11" t="n">
        <v>7054</v>
      </c>
      <c r="F73" s="11" t="n">
        <v>7097</v>
      </c>
      <c r="G73" s="11">
        <f>IF(OR(E73="",F73=""),"",F73-E73)</f>
        <v/>
      </c>
      <c r="H73" s="12">
        <f>IFERROR(G73/E73,"")</f>
        <v/>
      </c>
      <c r="I73" s="13" t="inlineStr">
        <is>
          <t>OK</t>
        </is>
      </c>
      <c r="J73" s="14" t="inlineStr">
        <is>
          <t>https://altin.doviz.com/gram-altin</t>
        </is>
      </c>
      <c r="K73" s="11" t="n">
        <v>43</v>
      </c>
      <c r="L73" s="12" t="n">
        <v>0.0061</v>
      </c>
      <c r="M73" s="15" t="inlineStr"/>
      <c r="N73" s="10" t="n">
        <v>0.5575578703703704</v>
      </c>
    </row>
    <row r="74">
      <c r="A74" s="9" t="n">
        <v>46262</v>
      </c>
      <c r="B74" s="10" t="n">
        <v>0.5570949074074074</v>
      </c>
      <c r="C74" t="inlineStr">
        <is>
          <t>Odeabank</t>
        </is>
      </c>
      <c r="D74" t="inlineStr">
        <is>
          <t>EURO</t>
        </is>
      </c>
      <c r="E74" s="11" t="n">
        <v>55.491</v>
      </c>
      <c r="F74" s="11" t="n">
        <v>56.581</v>
      </c>
      <c r="G74" s="11">
        <f>IF(OR(E74="",F74=""),"",F74-E74)</f>
        <v/>
      </c>
      <c r="H74" s="12">
        <f>IFERROR(G74/E74,"")</f>
        <v/>
      </c>
      <c r="I74" s="13" t="inlineStr">
        <is>
          <t>OK</t>
        </is>
      </c>
      <c r="J74" s="14" t="inlineStr">
        <is>
          <t>https://kur.doviz.com/serbest-piyasa/euro</t>
        </is>
      </c>
      <c r="K74" s="11" t="n">
        <v>1.09</v>
      </c>
      <c r="L74" s="12" t="n">
        <v>0.0196</v>
      </c>
      <c r="M74" s="15" t="inlineStr"/>
      <c r="N74" s="10" t="n">
        <v>0.5574074074074075</v>
      </c>
    </row>
    <row r="75">
      <c r="A75" s="9" t="n">
        <v>46262</v>
      </c>
      <c r="B75" s="10" t="n">
        <v>0.5570949074074074</v>
      </c>
      <c r="C75" t="inlineStr">
        <is>
          <t>Odeabank</t>
        </is>
      </c>
      <c r="D75" t="inlineStr">
        <is>
          <t>DOLAR</t>
        </is>
      </c>
      <c r="E75" s="11" t="n">
        <v>47.641</v>
      </c>
      <c r="F75" s="11" t="n">
        <v>48.641</v>
      </c>
      <c r="G75" s="11">
        <f>IF(OR(E75="",F75=""),"",F75-E75)</f>
        <v/>
      </c>
      <c r="H75" s="12">
        <f>IFERROR(G75/E75,"")</f>
        <v/>
      </c>
      <c r="I75" s="13" t="inlineStr">
        <is>
          <t>OK</t>
        </is>
      </c>
      <c r="J75" s="14" t="inlineStr">
        <is>
          <t>https://kur.doviz.com/serbest-piyasa/amerikan-dolari</t>
        </is>
      </c>
      <c r="K75" s="11" t="n">
        <v>1</v>
      </c>
      <c r="L75" s="12" t="n">
        <v>0.021</v>
      </c>
      <c r="M75" s="15" t="inlineStr"/>
      <c r="N75" s="10" t="n">
        <v>0.5572569444444444</v>
      </c>
    </row>
    <row r="76">
      <c r="A76" s="9" t="n">
        <v>46262</v>
      </c>
      <c r="B76" s="10" t="n">
        <v>0.5570949074074074</v>
      </c>
      <c r="C76" t="inlineStr">
        <is>
          <t>Odeabank</t>
        </is>
      </c>
      <c r="D76" t="inlineStr">
        <is>
          <t>GRAM_ALTIN</t>
        </is>
      </c>
      <c r="E76" s="11" t="n">
        <v>7082.06</v>
      </c>
      <c r="F76" s="11" t="n">
        <v>7182.06</v>
      </c>
      <c r="G76" s="11">
        <f>IF(OR(E76="",F76=""),"",F76-E76)</f>
        <v/>
      </c>
      <c r="H76" s="12">
        <f>IFERROR(G76/E76,"")</f>
        <v/>
      </c>
      <c r="I76" s="13" t="inlineStr">
        <is>
          <t>OK</t>
        </is>
      </c>
      <c r="J76" s="14" t="inlineStr">
        <is>
          <t>https://altin.doviz.com/gram-altin</t>
        </is>
      </c>
      <c r="K76" s="11" t="n">
        <v>100</v>
      </c>
      <c r="L76" s="12" t="n">
        <v>0.0141</v>
      </c>
      <c r="M76" s="15" t="inlineStr"/>
      <c r="N76" s="10" t="n">
        <v>0.5575578703703704</v>
      </c>
    </row>
    <row r="77">
      <c r="A77" s="9" t="n">
        <v>46262</v>
      </c>
      <c r="B77" s="10" t="n">
        <v>0.5570949074074074</v>
      </c>
      <c r="C77" t="inlineStr">
        <is>
          <t>Papara</t>
        </is>
      </c>
      <c r="D77" t="inlineStr">
        <is>
          <t>GRAM_ALTIN</t>
        </is>
      </c>
      <c r="E77" s="11" t="n">
        <v>7043.92</v>
      </c>
      <c r="F77" s="11" t="n">
        <v>7232.93</v>
      </c>
      <c r="G77" s="11">
        <f>IF(OR(E77="",F77=""),"",F77-E77)</f>
        <v/>
      </c>
      <c r="H77" s="12">
        <f>IFERROR(G77/E77,"")</f>
        <v/>
      </c>
      <c r="I77" s="13" t="inlineStr">
        <is>
          <t>OK</t>
        </is>
      </c>
      <c r="J77" s="14" t="inlineStr">
        <is>
          <t>https://altin.doviz.com/gram-altin</t>
        </is>
      </c>
      <c r="K77" s="11" t="n">
        <v>189.01</v>
      </c>
      <c r="L77" s="12" t="n">
        <v>0.0268</v>
      </c>
      <c r="M77" s="15" t="inlineStr"/>
      <c r="N77" s="10" t="n">
        <v>0.5575578703703704</v>
      </c>
    </row>
    <row r="78">
      <c r="A78" s="9" t="n">
        <v>46262</v>
      </c>
      <c r="B78" s="10" t="n">
        <v>0.5570949074074074</v>
      </c>
      <c r="C78" t="inlineStr">
        <is>
          <t>QNB Finansbank</t>
        </is>
      </c>
      <c r="D78" t="inlineStr">
        <is>
          <t>EURO</t>
        </is>
      </c>
      <c r="E78" s="11" t="n">
        <v>55.1797</v>
      </c>
      <c r="F78" s="11" t="n">
        <v>56.8399</v>
      </c>
      <c r="G78" s="11">
        <f>IF(OR(E78="",F78=""),"",F78-E78)</f>
        <v/>
      </c>
      <c r="H78" s="12">
        <f>IFERROR(G78/E78,"")</f>
        <v/>
      </c>
      <c r="I78" s="13" t="inlineStr">
        <is>
          <t>OK</t>
        </is>
      </c>
      <c r="J78" s="14" t="inlineStr">
        <is>
          <t>https://kur.doviz.com/serbest-piyasa/euro</t>
        </is>
      </c>
      <c r="K78" s="11" t="n">
        <v>1.6602</v>
      </c>
      <c r="L78" s="12" t="n">
        <v>0.0301</v>
      </c>
      <c r="M78" s="15" t="inlineStr"/>
      <c r="N78" s="10" t="n">
        <v>0.5574074074074075</v>
      </c>
    </row>
    <row r="79">
      <c r="A79" s="9" t="n">
        <v>46262</v>
      </c>
      <c r="B79" s="10" t="n">
        <v>0.5570949074074074</v>
      </c>
      <c r="C79" t="inlineStr">
        <is>
          <t>QNB Finansbank</t>
        </is>
      </c>
      <c r="D79" t="inlineStr">
        <is>
          <t>DOLAR</t>
        </is>
      </c>
      <c r="E79" s="11" t="n">
        <v>47.505</v>
      </c>
      <c r="F79" s="11" t="n">
        <v>48.725</v>
      </c>
      <c r="G79" s="11">
        <f>IF(OR(E79="",F79=""),"",F79-E79)</f>
        <v/>
      </c>
      <c r="H79" s="12">
        <f>IFERROR(G79/E79,"")</f>
        <v/>
      </c>
      <c r="I79" s="13" t="inlineStr">
        <is>
          <t>OK</t>
        </is>
      </c>
      <c r="J79" s="14" t="inlineStr">
        <is>
          <t>https://kur.doviz.com/serbest-piyasa/amerikan-dolari</t>
        </is>
      </c>
      <c r="K79" s="11" t="n">
        <v>1.22</v>
      </c>
      <c r="L79" s="12" t="n">
        <v>0.0257</v>
      </c>
      <c r="M79" s="15" t="inlineStr"/>
      <c r="N79" s="10" t="n">
        <v>0.5572569444444444</v>
      </c>
    </row>
    <row r="80">
      <c r="A80" s="9" t="n">
        <v>46262</v>
      </c>
      <c r="B80" s="10" t="n">
        <v>0.5570949074074074</v>
      </c>
      <c r="C80" t="inlineStr">
        <is>
          <t>QNB Finansbank</t>
        </is>
      </c>
      <c r="D80" t="inlineStr">
        <is>
          <t>GRAM_ALTIN</t>
        </is>
      </c>
      <c r="E80" s="11" t="n">
        <v>6981.54</v>
      </c>
      <c r="F80" s="11" t="n">
        <v>7191.96</v>
      </c>
      <c r="G80" s="11">
        <f>IF(OR(E80="",F80=""),"",F80-E80)</f>
        <v/>
      </c>
      <c r="H80" s="12">
        <f>IFERROR(G80/E80,"")</f>
        <v/>
      </c>
      <c r="I80" s="13" t="inlineStr">
        <is>
          <t>OK</t>
        </is>
      </c>
      <c r="J80" s="14" t="inlineStr">
        <is>
          <t>https://altin.doviz.com/gram-altin</t>
        </is>
      </c>
      <c r="K80" s="11" t="n">
        <v>210.42</v>
      </c>
      <c r="L80" s="12" t="n">
        <v>0.0301</v>
      </c>
      <c r="M80" s="15" t="inlineStr"/>
      <c r="N80" s="10" t="n">
        <v>0.5575578703703704</v>
      </c>
    </row>
    <row r="81">
      <c r="A81" s="9" t="n">
        <v>46262</v>
      </c>
      <c r="B81" s="10" t="n">
        <v>0.5570949074074074</v>
      </c>
      <c r="C81" t="inlineStr">
        <is>
          <t>TOM Bank Hadi</t>
        </is>
      </c>
      <c r="D81" t="inlineStr">
        <is>
          <t>EURO</t>
        </is>
      </c>
      <c r="E81" s="11" t="n">
        <v>55.9358</v>
      </c>
      <c r="F81" s="11" t="n">
        <v>56.2728</v>
      </c>
      <c r="G81" s="11">
        <f>IF(OR(E81="",F81=""),"",F81-E81)</f>
        <v/>
      </c>
      <c r="H81" s="12">
        <f>IFERROR(G81/E81,"")</f>
        <v/>
      </c>
      <c r="I81" s="13" t="inlineStr">
        <is>
          <t>OK</t>
        </is>
      </c>
      <c r="J81" s="14" t="inlineStr">
        <is>
          <t>https://kur.doviz.com/serbest-piyasa/euro</t>
        </is>
      </c>
      <c r="K81" s="11" t="n">
        <v>0.337</v>
      </c>
      <c r="L81" s="12" t="n">
        <v>0.006</v>
      </c>
      <c r="M81" s="15" t="inlineStr"/>
      <c r="N81" s="10" t="n">
        <v>0.5574074074074075</v>
      </c>
    </row>
    <row r="82">
      <c r="A82" s="9" t="n">
        <v>46262</v>
      </c>
      <c r="B82" s="10" t="n">
        <v>0.5570949074074074</v>
      </c>
      <c r="C82" t="inlineStr">
        <is>
          <t>TOM Bank Hadi</t>
        </is>
      </c>
      <c r="D82" t="inlineStr">
        <is>
          <t>DOLAR</t>
        </is>
      </c>
      <c r="E82" s="11" t="n">
        <v>48.1001</v>
      </c>
      <c r="F82" s="11" t="n">
        <v>48.3413</v>
      </c>
      <c r="G82" s="11">
        <f>IF(OR(E82="",F82=""),"",F82-E82)</f>
        <v/>
      </c>
      <c r="H82" s="12">
        <f>IFERROR(G82/E82,"")</f>
        <v/>
      </c>
      <c r="I82" s="13" t="inlineStr">
        <is>
          <t>OK</t>
        </is>
      </c>
      <c r="J82" s="14" t="inlineStr">
        <is>
          <t>https://kur.doviz.com/serbest-piyasa/amerikan-dolari</t>
        </is>
      </c>
      <c r="K82" s="11" t="n">
        <v>0.2412</v>
      </c>
      <c r="L82" s="12" t="n">
        <v>0.005</v>
      </c>
      <c r="M82" s="15" t="inlineStr"/>
      <c r="N82" s="10" t="n">
        <v>0.5572569444444444</v>
      </c>
    </row>
    <row r="83">
      <c r="A83" s="9" t="n">
        <v>46262</v>
      </c>
      <c r="B83" s="10" t="n">
        <v>0.5570949074074074</v>
      </c>
      <c r="C83" t="inlineStr">
        <is>
          <t>TOM Bank Hadi</t>
        </is>
      </c>
      <c r="D83" t="inlineStr">
        <is>
          <t>GRAM_ALTIN</t>
        </is>
      </c>
      <c r="E83" s="11" t="n">
        <v>6981.88</v>
      </c>
      <c r="F83" s="11" t="n">
        <v>7124.01</v>
      </c>
      <c r="G83" s="11">
        <f>IF(OR(E83="",F83=""),"",F83-E83)</f>
        <v/>
      </c>
      <c r="H83" s="12">
        <f>IFERROR(G83/E83,"")</f>
        <v/>
      </c>
      <c r="I83" s="13" t="inlineStr">
        <is>
          <t>OK</t>
        </is>
      </c>
      <c r="J83" s="14" t="inlineStr">
        <is>
          <t>https://altin.doviz.com/gram-altin</t>
        </is>
      </c>
      <c r="K83" s="11" t="n">
        <v>142.12</v>
      </c>
      <c r="L83" s="12" t="n">
        <v>0.0204</v>
      </c>
      <c r="M83" s="15" t="inlineStr"/>
      <c r="N83" s="10" t="n">
        <v>0.5575578703703704</v>
      </c>
    </row>
    <row r="84">
      <c r="A84" s="9" t="n">
        <v>46262</v>
      </c>
      <c r="B84" s="10" t="n">
        <v>0.5570949074074074</v>
      </c>
      <c r="C84" t="inlineStr">
        <is>
          <t>Türkiye Finans</t>
        </is>
      </c>
      <c r="D84" t="inlineStr">
        <is>
          <t>EURO</t>
        </is>
      </c>
      <c r="E84" s="11" t="n">
        <v>55.569</v>
      </c>
      <c r="F84" s="11" t="n">
        <v>56.4279</v>
      </c>
      <c r="G84" s="11">
        <f>IF(OR(E84="",F84=""),"",F84-E84)</f>
        <v/>
      </c>
      <c r="H84" s="12">
        <f>IFERROR(G84/E84,"")</f>
        <v/>
      </c>
      <c r="I84" s="13" t="inlineStr">
        <is>
          <t>OK</t>
        </is>
      </c>
      <c r="J84" s="14" t="inlineStr">
        <is>
          <t>https://kur.doviz.com/serbest-piyasa/euro</t>
        </is>
      </c>
      <c r="K84" s="11" t="n">
        <v>0.8589</v>
      </c>
      <c r="L84" s="12" t="n">
        <v>0.0155</v>
      </c>
      <c r="M84" s="15" t="inlineStr"/>
      <c r="N84" s="10" t="n">
        <v>0.5574074074074075</v>
      </c>
    </row>
    <row r="85">
      <c r="A85" s="9" t="n">
        <v>46262</v>
      </c>
      <c r="B85" s="10" t="n">
        <v>0.5570949074074074</v>
      </c>
      <c r="C85" t="inlineStr">
        <is>
          <t>Türkiye Finans</t>
        </is>
      </c>
      <c r="D85" t="inlineStr">
        <is>
          <t>DOLAR</t>
        </is>
      </c>
      <c r="E85" s="11" t="n">
        <v>47.7074</v>
      </c>
      <c r="F85" s="11" t="n">
        <v>48.5152</v>
      </c>
      <c r="G85" s="11">
        <f>IF(OR(E85="",F85=""),"",F85-E85)</f>
        <v/>
      </c>
      <c r="H85" s="12">
        <f>IFERROR(G85/E85,"")</f>
        <v/>
      </c>
      <c r="I85" s="13" t="inlineStr">
        <is>
          <t>OK</t>
        </is>
      </c>
      <c r="J85" s="14" t="inlineStr">
        <is>
          <t>https://kur.doviz.com/serbest-piyasa/amerikan-dolari</t>
        </is>
      </c>
      <c r="K85" s="11" t="n">
        <v>0.8078</v>
      </c>
      <c r="L85" s="12" t="n">
        <v>0.0169</v>
      </c>
      <c r="M85" s="15" t="inlineStr"/>
      <c r="N85" s="10" t="n">
        <v>0.5572569444444444</v>
      </c>
    </row>
    <row r="86">
      <c r="A86" s="9" t="n">
        <v>46262</v>
      </c>
      <c r="B86" s="10" t="n">
        <v>0.5570949074074074</v>
      </c>
      <c r="C86" t="inlineStr">
        <is>
          <t>Türkiye Finans</t>
        </is>
      </c>
      <c r="D86" t="inlineStr">
        <is>
          <t>GRAM_ALTIN</t>
        </is>
      </c>
      <c r="E86" s="11" t="n">
        <v>7023.07</v>
      </c>
      <c r="F86" s="11" t="n">
        <v>7220.82</v>
      </c>
      <c r="G86" s="11">
        <f>IF(OR(E86="",F86=""),"",F86-E86)</f>
        <v/>
      </c>
      <c r="H86" s="12">
        <f>IFERROR(G86/E86,"")</f>
        <v/>
      </c>
      <c r="I86" s="13" t="inlineStr">
        <is>
          <t>OK</t>
        </is>
      </c>
      <c r="J86" s="14" t="inlineStr">
        <is>
          <t>https://altin.doviz.com/gram-altin</t>
        </is>
      </c>
      <c r="K86" s="11" t="n">
        <v>197.74</v>
      </c>
      <c r="L86" s="12" t="n">
        <v>0.0282</v>
      </c>
      <c r="M86" s="15" t="inlineStr"/>
      <c r="N86" s="10" t="n">
        <v>0.5575578703703704</v>
      </c>
    </row>
    <row r="87">
      <c r="A87" s="9" t="n">
        <v>46262</v>
      </c>
      <c r="B87" s="10" t="n">
        <v>0.5570949074074074</v>
      </c>
      <c r="C87" t="inlineStr">
        <is>
          <t>Vakıf Katılım</t>
        </is>
      </c>
      <c r="D87" t="inlineStr">
        <is>
          <t>EURO</t>
        </is>
      </c>
      <c r="E87" s="11" t="n">
        <v>55.8879</v>
      </c>
      <c r="F87" s="11" t="n">
        <v>56.1131</v>
      </c>
      <c r="G87" s="11">
        <f>IF(OR(E87="",F87=""),"",F87-E87)</f>
        <v/>
      </c>
      <c r="H87" s="12">
        <f>IFERROR(G87/E87,"")</f>
        <v/>
      </c>
      <c r="I87" s="13" t="inlineStr">
        <is>
          <t>OK</t>
        </is>
      </c>
      <c r="J87" s="14" t="inlineStr">
        <is>
          <t>https://kur.doviz.com/serbest-piyasa/euro</t>
        </is>
      </c>
      <c r="K87" s="11" t="n">
        <v>0.2252</v>
      </c>
      <c r="L87" s="12" t="n">
        <v>0.004</v>
      </c>
      <c r="M87" s="15" t="inlineStr"/>
      <c r="N87" s="10" t="n">
        <v>0.5574074074074075</v>
      </c>
    </row>
    <row r="88">
      <c r="A88" s="9" t="n">
        <v>46262</v>
      </c>
      <c r="B88" s="10" t="n">
        <v>0.5570949074074074</v>
      </c>
      <c r="C88" t="inlineStr">
        <is>
          <t>Vakıf Katılım</t>
        </is>
      </c>
      <c r="D88" t="inlineStr">
        <is>
          <t>DOLAR</t>
        </is>
      </c>
      <c r="E88" s="11" t="n">
        <v>48.0171</v>
      </c>
      <c r="F88" s="11" t="n">
        <v>48.2197</v>
      </c>
      <c r="G88" s="11">
        <f>IF(OR(E88="",F88=""),"",F88-E88)</f>
        <v/>
      </c>
      <c r="H88" s="12">
        <f>IFERROR(G88/E88,"")</f>
        <v/>
      </c>
      <c r="I88" s="13" t="inlineStr">
        <is>
          <t>OK</t>
        </is>
      </c>
      <c r="J88" s="14" t="inlineStr">
        <is>
          <t>https://kur.doviz.com/serbest-piyasa/amerikan-dolari</t>
        </is>
      </c>
      <c r="K88" s="11" t="n">
        <v>0.2026</v>
      </c>
      <c r="L88" s="12" t="n">
        <v>0.0042</v>
      </c>
      <c r="M88" s="15" t="inlineStr"/>
      <c r="N88" s="10" t="n">
        <v>0.5572569444444444</v>
      </c>
    </row>
    <row r="89">
      <c r="A89" s="9" t="n">
        <v>46262</v>
      </c>
      <c r="B89" s="10" t="n">
        <v>0.5570949074074074</v>
      </c>
      <c r="C89" t="inlineStr">
        <is>
          <t>Vakıf Katılım</t>
        </is>
      </c>
      <c r="D89" t="inlineStr">
        <is>
          <t>GRAM_ALTIN</t>
        </is>
      </c>
      <c r="E89" s="11" t="n">
        <v>7058.1</v>
      </c>
      <c r="F89" s="11" t="n">
        <v>7114.79</v>
      </c>
      <c r="G89" s="11">
        <f>IF(OR(E89="",F89=""),"",F89-E89)</f>
        <v/>
      </c>
      <c r="H89" s="12">
        <f>IFERROR(G89/E89,"")</f>
        <v/>
      </c>
      <c r="I89" s="13" t="inlineStr">
        <is>
          <t>OK</t>
        </is>
      </c>
      <c r="J89" s="14" t="inlineStr">
        <is>
          <t>https://altin.doviz.com/gram-altin</t>
        </is>
      </c>
      <c r="K89" s="11" t="n">
        <v>56.69</v>
      </c>
      <c r="L89" s="12" t="n">
        <v>0.008</v>
      </c>
      <c r="M89" s="15" t="inlineStr"/>
      <c r="N89" s="10" t="n">
        <v>0.5575578703703704</v>
      </c>
    </row>
    <row r="90">
      <c r="A90" s="9" t="n">
        <v>46262</v>
      </c>
      <c r="B90" s="10" t="n">
        <v>0.5570949074074074</v>
      </c>
      <c r="C90" t="inlineStr">
        <is>
          <t>Vakıfbank</t>
        </is>
      </c>
      <c r="D90" t="inlineStr">
        <is>
          <t>EURO</t>
        </is>
      </c>
      <c r="E90" s="11" t="n">
        <v>55.6038</v>
      </c>
      <c r="F90" s="11" t="n">
        <v>56.7169</v>
      </c>
      <c r="G90" s="11">
        <f>IF(OR(E90="",F90=""),"",F90-E90)</f>
        <v/>
      </c>
      <c r="H90" s="12">
        <f>IFERROR(G90/E90,"")</f>
        <v/>
      </c>
      <c r="I90" s="13" t="inlineStr">
        <is>
          <t>OK</t>
        </is>
      </c>
      <c r="J90" s="14" t="inlineStr">
        <is>
          <t>https://kur.doviz.com/serbest-piyasa/euro</t>
        </is>
      </c>
      <c r="K90" s="11" t="n">
        <v>1.1131</v>
      </c>
      <c r="L90" s="12" t="n">
        <v>0.02</v>
      </c>
      <c r="M90" s="15" t="inlineStr"/>
      <c r="N90" s="10" t="n">
        <v>0.5574074074074075</v>
      </c>
    </row>
    <row r="91">
      <c r="A91" s="9" t="n">
        <v>46262</v>
      </c>
      <c r="B91" s="10" t="n">
        <v>0.5570949074074074</v>
      </c>
      <c r="C91" t="inlineStr">
        <is>
          <t>Vakıfbank</t>
        </is>
      </c>
      <c r="D91" t="inlineStr">
        <is>
          <t>DOLAR</t>
        </is>
      </c>
      <c r="E91" s="11" t="n">
        <v>47.7422</v>
      </c>
      <c r="F91" s="11" t="n">
        <v>48.7032</v>
      </c>
      <c r="G91" s="11">
        <f>IF(OR(E91="",F91=""),"",F91-E91)</f>
        <v/>
      </c>
      <c r="H91" s="12">
        <f>IFERROR(G91/E91,"")</f>
        <v/>
      </c>
      <c r="I91" s="13" t="inlineStr">
        <is>
          <t>OK</t>
        </is>
      </c>
      <c r="J91" s="14" t="inlineStr">
        <is>
          <t>https://kur.doviz.com/serbest-piyasa/amerikan-dolari</t>
        </is>
      </c>
      <c r="K91" s="11" t="n">
        <v>0.961</v>
      </c>
      <c r="L91" s="12" t="n">
        <v>0.0201</v>
      </c>
      <c r="M91" s="15" t="inlineStr"/>
      <c r="N91" s="10" t="n">
        <v>0.5572569444444444</v>
      </c>
    </row>
    <row r="92">
      <c r="A92" s="9" t="n">
        <v>46262</v>
      </c>
      <c r="B92" s="10" t="n">
        <v>0.5570949074074074</v>
      </c>
      <c r="C92" t="inlineStr">
        <is>
          <t>Vakıfbank</t>
        </is>
      </c>
      <c r="D92" t="inlineStr">
        <is>
          <t>GRAM_ALTIN</t>
        </is>
      </c>
      <c r="E92" s="11" t="n">
        <v>7041.26</v>
      </c>
      <c r="F92" s="11" t="n">
        <v>7185.86</v>
      </c>
      <c r="G92" s="11">
        <f>IF(OR(E92="",F92=""),"",F92-E92)</f>
        <v/>
      </c>
      <c r="H92" s="12">
        <f>IFERROR(G92/E92,"")</f>
        <v/>
      </c>
      <c r="I92" s="13" t="inlineStr">
        <is>
          <t>OK</t>
        </is>
      </c>
      <c r="J92" s="14" t="inlineStr">
        <is>
          <t>https://altin.doviz.com/gram-altin</t>
        </is>
      </c>
      <c r="K92" s="11" t="n">
        <v>144.6</v>
      </c>
      <c r="L92" s="12" t="n">
        <v>0.0205</v>
      </c>
      <c r="M92" s="15" t="inlineStr"/>
      <c r="N92" s="10" t="n">
        <v>0.5575578703703704</v>
      </c>
    </row>
    <row r="93">
      <c r="A93" s="9" t="n">
        <v>46262</v>
      </c>
      <c r="B93" s="10" t="n">
        <v>0.5570949074074074</v>
      </c>
      <c r="C93" t="inlineStr">
        <is>
          <t>Venüs</t>
        </is>
      </c>
      <c r="D93" t="inlineStr">
        <is>
          <t>EURO</t>
        </is>
      </c>
      <c r="E93" s="11" t="n">
        <v>55.801</v>
      </c>
      <c r="F93" s="11" t="n">
        <v>55.972</v>
      </c>
      <c r="G93" s="11">
        <f>IF(OR(E93="",F93=""),"",F93-E93)</f>
        <v/>
      </c>
      <c r="H93" s="12">
        <f>IFERROR(G93/E93,"")</f>
        <v/>
      </c>
      <c r="I93" s="13" t="inlineStr">
        <is>
          <t>OK</t>
        </is>
      </c>
      <c r="J93" s="14" t="inlineStr">
        <is>
          <t>https://kur.doviz.com/serbest-piyasa/euro</t>
        </is>
      </c>
      <c r="K93" s="11" t="n">
        <v>0.171</v>
      </c>
      <c r="L93" s="12" t="n">
        <v>0.0031</v>
      </c>
      <c r="M93" s="15" t="inlineStr"/>
      <c r="N93" s="10" t="n">
        <v>0.5574074074074075</v>
      </c>
    </row>
    <row r="94">
      <c r="A94" s="9" t="n">
        <v>46262</v>
      </c>
      <c r="B94" s="10" t="n">
        <v>0.5570949074074074</v>
      </c>
      <c r="C94" t="inlineStr">
        <is>
          <t>Venüs</t>
        </is>
      </c>
      <c r="D94" t="inlineStr">
        <is>
          <t>DOLAR</t>
        </is>
      </c>
      <c r="E94" s="11" t="n">
        <v>48.042</v>
      </c>
      <c r="F94" s="11" t="n">
        <v>48.115</v>
      </c>
      <c r="G94" s="11">
        <f>IF(OR(E94="",F94=""),"",F94-E94)</f>
        <v/>
      </c>
      <c r="H94" s="12">
        <f>IFERROR(G94/E94,"")</f>
        <v/>
      </c>
      <c r="I94" s="13" t="inlineStr">
        <is>
          <t>OK</t>
        </is>
      </c>
      <c r="J94" s="14" t="inlineStr">
        <is>
          <t>https://kur.doviz.com/serbest-piyasa/amerikan-dolari</t>
        </is>
      </c>
      <c r="K94" s="11" t="n">
        <v>0.073</v>
      </c>
      <c r="L94" s="12" t="n">
        <v>0.0015</v>
      </c>
      <c r="M94" s="15" t="inlineStr"/>
      <c r="N94" s="10" t="n">
        <v>0.5572569444444444</v>
      </c>
    </row>
    <row r="95">
      <c r="A95" s="9" t="n">
        <v>46262</v>
      </c>
      <c r="B95" s="10" t="n">
        <v>0.5570949074074074</v>
      </c>
      <c r="C95" t="inlineStr">
        <is>
          <t>Yapıkredi</t>
        </is>
      </c>
      <c r="D95" t="inlineStr">
        <is>
          <t>EURO</t>
        </is>
      </c>
      <c r="E95" s="11" t="n">
        <v>55.38</v>
      </c>
      <c r="F95" s="11" t="n">
        <v>56.52</v>
      </c>
      <c r="G95" s="11">
        <f>IF(OR(E95="",F95=""),"",F95-E95)</f>
        <v/>
      </c>
      <c r="H95" s="12">
        <f>IFERROR(G95/E95,"")</f>
        <v/>
      </c>
      <c r="I95" s="13" t="inlineStr">
        <is>
          <t>OK</t>
        </is>
      </c>
      <c r="J95" s="14" t="inlineStr">
        <is>
          <t>https://kur.doviz.com/serbest-piyasa/euro</t>
        </is>
      </c>
      <c r="K95" s="11" t="n">
        <v>1.14</v>
      </c>
      <c r="L95" s="12" t="n">
        <v>0.0206</v>
      </c>
      <c r="M95" s="15" t="inlineStr"/>
      <c r="N95" s="10" t="n">
        <v>0.5574074074074075</v>
      </c>
    </row>
    <row r="96">
      <c r="A96" s="9" t="n">
        <v>46262</v>
      </c>
      <c r="B96" s="10" t="n">
        <v>0.5570949074074074</v>
      </c>
      <c r="C96" t="inlineStr">
        <is>
          <t>Yapıkredi</t>
        </is>
      </c>
      <c r="D96" t="inlineStr">
        <is>
          <t>DOLAR</t>
        </is>
      </c>
      <c r="E96" s="11" t="n">
        <v>47.56</v>
      </c>
      <c r="F96" s="11" t="n">
        <v>48.57</v>
      </c>
      <c r="G96" s="11">
        <f>IF(OR(E96="",F96=""),"",F96-E96)</f>
        <v/>
      </c>
      <c r="H96" s="12">
        <f>IFERROR(G96/E96,"")</f>
        <v/>
      </c>
      <c r="I96" s="13" t="inlineStr">
        <is>
          <t>OK</t>
        </is>
      </c>
      <c r="J96" s="14" t="inlineStr">
        <is>
          <t>https://kur.doviz.com/serbest-piyasa/amerikan-dolari</t>
        </is>
      </c>
      <c r="K96" s="11" t="n">
        <v>1.01</v>
      </c>
      <c r="L96" s="12" t="n">
        <v>0.0212</v>
      </c>
      <c r="M96" s="15" t="inlineStr"/>
      <c r="N96" s="10" t="n">
        <v>0.5572569444444444</v>
      </c>
    </row>
    <row r="97">
      <c r="A97" s="9" t="n">
        <v>46262</v>
      </c>
      <c r="B97" s="10" t="n">
        <v>0.5570949074074074</v>
      </c>
      <c r="C97" t="inlineStr">
        <is>
          <t>Yapıkredi</t>
        </is>
      </c>
      <c r="D97" t="inlineStr">
        <is>
          <t>GRAM_ALTIN</t>
        </is>
      </c>
      <c r="E97" s="11" t="n">
        <v>7009.19</v>
      </c>
      <c r="F97" s="11" t="n">
        <v>7215.39</v>
      </c>
      <c r="G97" s="11">
        <f>IF(OR(E97="",F97=""),"",F97-E97)</f>
        <v/>
      </c>
      <c r="H97" s="12">
        <f>IFERROR(G97/E97,"")</f>
        <v/>
      </c>
      <c r="I97" s="13" t="inlineStr">
        <is>
          <t>OK</t>
        </is>
      </c>
      <c r="J97" s="14" t="inlineStr">
        <is>
          <t>https://altin.doviz.com/gram-altin</t>
        </is>
      </c>
      <c r="K97" s="11" t="n">
        <v>206.2</v>
      </c>
      <c r="L97" s="12" t="n">
        <v>0.0294</v>
      </c>
      <c r="M97" s="15" t="inlineStr"/>
      <c r="N97" s="10" t="n">
        <v>0.5575578703703704</v>
      </c>
    </row>
    <row r="98">
      <c r="A98" s="9" t="n">
        <v>46262</v>
      </c>
      <c r="B98" s="10" t="n">
        <v>0.5570949074074074</v>
      </c>
      <c r="C98" t="inlineStr">
        <is>
          <t>Ziraat Bankası</t>
        </is>
      </c>
      <c r="D98" t="inlineStr">
        <is>
          <t>EURO</t>
        </is>
      </c>
      <c r="E98" s="11" t="n">
        <v>55.5758</v>
      </c>
      <c r="F98" s="11" t="n">
        <v>56.7001</v>
      </c>
      <c r="G98" s="11">
        <f>IF(OR(E98="",F98=""),"",F98-E98)</f>
        <v/>
      </c>
      <c r="H98" s="12">
        <f>IFERROR(G98/E98,"")</f>
        <v/>
      </c>
      <c r="I98" s="13" t="inlineStr">
        <is>
          <t>OK</t>
        </is>
      </c>
      <c r="J98" s="14" t="inlineStr">
        <is>
          <t>https://kur.doviz.com/serbest-piyasa/euro</t>
        </is>
      </c>
      <c r="K98" s="11" t="n">
        <v>1.1243</v>
      </c>
      <c r="L98" s="12" t="n">
        <v>0.0202</v>
      </c>
      <c r="M98" s="15" t="inlineStr"/>
      <c r="N98" s="10" t="n">
        <v>0.5574074074074075</v>
      </c>
    </row>
    <row r="99">
      <c r="A99" s="9" t="n">
        <v>46262</v>
      </c>
      <c r="B99" s="10" t="n">
        <v>0.5570949074074074</v>
      </c>
      <c r="C99" t="inlineStr">
        <is>
          <t>Ziraat Bankası</t>
        </is>
      </c>
      <c r="D99" t="inlineStr">
        <is>
          <t>DOLAR</t>
        </is>
      </c>
      <c r="E99" s="11" t="n">
        <v>47.7541</v>
      </c>
      <c r="F99" s="11" t="n">
        <v>48.7201</v>
      </c>
      <c r="G99" s="11">
        <f>IF(OR(E99="",F99=""),"",F99-E99)</f>
        <v/>
      </c>
      <c r="H99" s="12">
        <f>IFERROR(G99/E99,"")</f>
        <v/>
      </c>
      <c r="I99" s="13" t="inlineStr">
        <is>
          <t>OK</t>
        </is>
      </c>
      <c r="J99" s="14" t="inlineStr">
        <is>
          <t>https://kur.doviz.com/serbest-piyasa/amerikan-dolari</t>
        </is>
      </c>
      <c r="K99" s="11" t="n">
        <v>0.966</v>
      </c>
      <c r="L99" s="12" t="n">
        <v>0.0202</v>
      </c>
      <c r="M99" s="15" t="inlineStr"/>
      <c r="N99" s="10" t="n">
        <v>0.5572569444444444</v>
      </c>
    </row>
    <row r="100">
      <c r="A100" s="9" t="n">
        <v>46262</v>
      </c>
      <c r="B100" s="10" t="n">
        <v>0.5570949074074074</v>
      </c>
      <c r="C100" t="inlineStr">
        <is>
          <t>Ziraat Bankası</t>
        </is>
      </c>
      <c r="D100" t="inlineStr">
        <is>
          <t>GRAM_ALTIN</t>
        </is>
      </c>
      <c r="E100" s="11" t="n">
        <v>7078.33</v>
      </c>
      <c r="F100" s="11" t="n">
        <v>7221.25</v>
      </c>
      <c r="G100" s="11">
        <f>IF(OR(E100="",F100=""),"",F100-E100)</f>
        <v/>
      </c>
      <c r="H100" s="12">
        <f>IFERROR(G100/E100,"")</f>
        <v/>
      </c>
      <c r="I100" s="13" t="inlineStr">
        <is>
          <t>OK</t>
        </is>
      </c>
      <c r="J100" s="14" t="inlineStr">
        <is>
          <t>https://altin.doviz.com/gram-altin</t>
        </is>
      </c>
      <c r="K100" s="11" t="n">
        <v>142.92</v>
      </c>
      <c r="L100" s="12" t="n">
        <v>0.0202</v>
      </c>
      <c r="M100" s="15" t="inlineStr"/>
      <c r="N100" s="10" t="n">
        <v>0.5575578703703704</v>
      </c>
    </row>
    <row r="101">
      <c r="A101" s="9" t="n">
        <v>46262</v>
      </c>
      <c r="B101" s="10" t="n">
        <v>0.5570949074074074</v>
      </c>
      <c r="C101" t="inlineStr">
        <is>
          <t>Ziraat Dinamik</t>
        </is>
      </c>
      <c r="D101" t="inlineStr">
        <is>
          <t>EURO</t>
        </is>
      </c>
      <c r="E101" s="11" t="n">
        <v>55.5796</v>
      </c>
      <c r="F101" s="11" t="n">
        <v>56.392</v>
      </c>
      <c r="G101" s="11">
        <f>IF(OR(E101="",F101=""),"",F101-E101)</f>
        <v/>
      </c>
      <c r="H101" s="12">
        <f>IFERROR(G101/E101,"")</f>
        <v/>
      </c>
      <c r="I101" s="13" t="inlineStr">
        <is>
          <t>OK</t>
        </is>
      </c>
      <c r="J101" s="14" t="inlineStr">
        <is>
          <t>https://kur.doviz.com/serbest-piyasa/euro</t>
        </is>
      </c>
      <c r="K101" s="11" t="n">
        <v>0.8124</v>
      </c>
      <c r="L101" s="12" t="n">
        <v>0.0146</v>
      </c>
      <c r="M101" s="15" t="inlineStr"/>
      <c r="N101" s="10" t="n">
        <v>0.5574074074074075</v>
      </c>
    </row>
    <row r="102">
      <c r="A102" s="9" t="n">
        <v>46262</v>
      </c>
      <c r="B102" s="10" t="n">
        <v>0.5570949074074074</v>
      </c>
      <c r="C102" t="inlineStr">
        <is>
          <t>Ziraat Dinamik</t>
        </is>
      </c>
      <c r="D102" t="inlineStr">
        <is>
          <t>DOLAR</t>
        </is>
      </c>
      <c r="E102" s="11" t="n">
        <v>47.8019</v>
      </c>
      <c r="F102" s="11" t="n">
        <v>48.4521</v>
      </c>
      <c r="G102" s="11">
        <f>IF(OR(E102="",F102=""),"",F102-E102)</f>
        <v/>
      </c>
      <c r="H102" s="12">
        <f>IFERROR(G102/E102,"")</f>
        <v/>
      </c>
      <c r="I102" s="13" t="inlineStr">
        <is>
          <t>OK</t>
        </is>
      </c>
      <c r="J102" s="14" t="inlineStr">
        <is>
          <t>https://kur.doviz.com/serbest-piyasa/amerikan-dolari</t>
        </is>
      </c>
      <c r="K102" s="11" t="n">
        <v>0.6502</v>
      </c>
      <c r="L102" s="12" t="n">
        <v>0.0136</v>
      </c>
      <c r="M102" s="15" t="inlineStr"/>
      <c r="N102" s="10" t="n">
        <v>0.5572569444444444</v>
      </c>
    </row>
    <row r="103">
      <c r="A103" s="9" t="n">
        <v>46262</v>
      </c>
      <c r="B103" s="10" t="n">
        <v>0.5570949074074074</v>
      </c>
      <c r="C103" t="inlineStr">
        <is>
          <t>Ziraat Dinamik</t>
        </is>
      </c>
      <c r="D103" t="inlineStr">
        <is>
          <t>GRAM_ALTIN</t>
        </is>
      </c>
      <c r="E103" s="11" t="n">
        <v>7038.97</v>
      </c>
      <c r="F103" s="11" t="n">
        <v>7181.1</v>
      </c>
      <c r="G103" s="11">
        <f>IF(OR(E103="",F103=""),"",F103-E103)</f>
        <v/>
      </c>
      <c r="H103" s="12">
        <f>IFERROR(G103/E103,"")</f>
        <v/>
      </c>
      <c r="I103" s="13" t="inlineStr">
        <is>
          <t>OK</t>
        </is>
      </c>
      <c r="J103" s="14" t="inlineStr">
        <is>
          <t>https://altin.doviz.com/gram-altin</t>
        </is>
      </c>
      <c r="K103" s="11" t="n">
        <v>142.13</v>
      </c>
      <c r="L103" s="12" t="n">
        <v>0.0202</v>
      </c>
      <c r="M103" s="15" t="inlineStr"/>
      <c r="N103" s="10" t="n">
        <v>0.5575578703703704</v>
      </c>
    </row>
    <row r="104">
      <c r="A104" s="9" t="n">
        <v>46262</v>
      </c>
      <c r="B104" s="10" t="n">
        <v>0.5570949074074074</v>
      </c>
      <c r="C104" t="inlineStr">
        <is>
          <t>Ziraat Katılım</t>
        </is>
      </c>
      <c r="D104" t="inlineStr">
        <is>
          <t>EURO</t>
        </is>
      </c>
      <c r="E104" s="11" t="n">
        <v>55.5095</v>
      </c>
      <c r="F104" s="11" t="n">
        <v>56.7236</v>
      </c>
      <c r="G104" s="11">
        <f>IF(OR(E104="",F104=""),"",F104-E104)</f>
        <v/>
      </c>
      <c r="H104" s="12">
        <f>IFERROR(G104/E104,"")</f>
        <v/>
      </c>
      <c r="I104" s="13" t="inlineStr">
        <is>
          <t>OK</t>
        </is>
      </c>
      <c r="J104" s="14" t="inlineStr">
        <is>
          <t>https://kur.doviz.com/serbest-piyasa/euro</t>
        </is>
      </c>
      <c r="K104" s="11" t="n">
        <v>1.2141</v>
      </c>
      <c r="L104" s="12" t="n">
        <v>0.0219</v>
      </c>
      <c r="M104" s="15" t="inlineStr"/>
      <c r="N104" s="10" t="n">
        <v>0.5574074074074075</v>
      </c>
    </row>
    <row r="105">
      <c r="A105" s="9" t="n">
        <v>46262</v>
      </c>
      <c r="B105" s="10" t="n">
        <v>0.5570949074074074</v>
      </c>
      <c r="C105" t="inlineStr">
        <is>
          <t>Ziraat Katılım</t>
        </is>
      </c>
      <c r="D105" t="inlineStr">
        <is>
          <t>DOLAR</t>
        </is>
      </c>
      <c r="E105" s="11" t="n">
        <v>47.7169</v>
      </c>
      <c r="F105" s="11" t="n">
        <v>48.7128</v>
      </c>
      <c r="G105" s="11">
        <f>IF(OR(E105="",F105=""),"",F105-E105)</f>
        <v/>
      </c>
      <c r="H105" s="12">
        <f>IFERROR(G105/E105,"")</f>
        <v/>
      </c>
      <c r="I105" s="13" t="inlineStr">
        <is>
          <t>OK</t>
        </is>
      </c>
      <c r="J105" s="14" t="inlineStr">
        <is>
          <t>https://kur.doviz.com/serbest-piyasa/amerikan-dolari</t>
        </is>
      </c>
      <c r="K105" s="11" t="n">
        <v>0.9959</v>
      </c>
      <c r="L105" s="12" t="n">
        <v>0.0209</v>
      </c>
      <c r="M105" s="15" t="inlineStr"/>
      <c r="N105" s="10" t="n">
        <v>0.5572569444444444</v>
      </c>
    </row>
    <row r="106">
      <c r="A106" s="9" t="n">
        <v>46262</v>
      </c>
      <c r="B106" s="10" t="n">
        <v>0.5570949074074074</v>
      </c>
      <c r="C106" t="inlineStr">
        <is>
          <t>Ziraat Katılım</t>
        </is>
      </c>
      <c r="D106" t="inlineStr">
        <is>
          <t>GRAM_ALTIN</t>
        </is>
      </c>
      <c r="E106" s="11" t="n">
        <v>7061.18</v>
      </c>
      <c r="F106" s="11" t="n">
        <v>7285.19</v>
      </c>
      <c r="G106" s="11">
        <f>IF(OR(E106="",F106=""),"",F106-E106)</f>
        <v/>
      </c>
      <c r="H106" s="12">
        <f>IFERROR(G106/E106,"")</f>
        <v/>
      </c>
      <c r="I106" s="13" t="inlineStr">
        <is>
          <t>OK</t>
        </is>
      </c>
      <c r="J106" s="14" t="inlineStr">
        <is>
          <t>https://altin.doviz.com/gram-altin</t>
        </is>
      </c>
      <c r="K106" s="11" t="n">
        <v>224</v>
      </c>
      <c r="L106" s="12" t="n">
        <v>0.0317</v>
      </c>
      <c r="M106" s="15" t="inlineStr"/>
      <c r="N106" s="10" t="n">
        <v>0.5575578703703704</v>
      </c>
    </row>
    <row r="107">
      <c r="A107" s="9" t="n">
        <v>46262</v>
      </c>
      <c r="B107" s="10" t="n">
        <v>0.5570949074074074</v>
      </c>
      <c r="C107" t="inlineStr">
        <is>
          <t>İş Bankası</t>
        </is>
      </c>
      <c r="D107" t="inlineStr">
        <is>
          <t>EURO</t>
        </is>
      </c>
      <c r="E107" s="11" t="n">
        <v>55.3259</v>
      </c>
      <c r="F107" s="11" t="n">
        <v>56.6789</v>
      </c>
      <c r="G107" s="11">
        <f>IF(OR(E107="",F107=""),"",F107-E107)</f>
        <v/>
      </c>
      <c r="H107" s="12">
        <f>IFERROR(G107/E107,"")</f>
        <v/>
      </c>
      <c r="I107" s="13" t="inlineStr">
        <is>
          <t>OK</t>
        </is>
      </c>
      <c r="J107" s="14" t="inlineStr">
        <is>
          <t>https://kur.doviz.com/serbest-piyasa/euro</t>
        </is>
      </c>
      <c r="K107" s="11" t="n">
        <v>1.353</v>
      </c>
      <c r="L107" s="12" t="n">
        <v>0.0245</v>
      </c>
      <c r="M107" s="15" t="inlineStr"/>
      <c r="N107" s="10" t="n">
        <v>0.5574074074074075</v>
      </c>
    </row>
    <row r="108">
      <c r="A108" s="9" t="n">
        <v>46262</v>
      </c>
      <c r="B108" s="10" t="n">
        <v>0.5570949074074074</v>
      </c>
      <c r="C108" t="inlineStr">
        <is>
          <t>İş Bankası</t>
        </is>
      </c>
      <c r="D108" t="inlineStr">
        <is>
          <t>DOLAR</t>
        </is>
      </c>
      <c r="E108" s="11" t="n">
        <v>47.535</v>
      </c>
      <c r="F108" s="11" t="n">
        <v>48.6933</v>
      </c>
      <c r="G108" s="11">
        <f>IF(OR(E108="",F108=""),"",F108-E108)</f>
        <v/>
      </c>
      <c r="H108" s="12">
        <f>IFERROR(G108/E108,"")</f>
        <v/>
      </c>
      <c r="I108" s="13" t="inlineStr">
        <is>
          <t>OK</t>
        </is>
      </c>
      <c r="J108" s="14" t="inlineStr">
        <is>
          <t>https://kur.doviz.com/serbest-piyasa/amerikan-dolari</t>
        </is>
      </c>
      <c r="K108" s="11" t="n">
        <v>1.1583</v>
      </c>
      <c r="L108" s="12" t="n">
        <v>0.0244</v>
      </c>
      <c r="M108" s="15" t="inlineStr"/>
      <c r="N108" s="10" t="n">
        <v>0.5572569444444444</v>
      </c>
    </row>
    <row r="109">
      <c r="A109" s="9" t="n">
        <v>46262</v>
      </c>
      <c r="B109" s="10" t="n">
        <v>0.5570949074074074</v>
      </c>
      <c r="C109" t="inlineStr">
        <is>
          <t>İş Bankası</t>
        </is>
      </c>
      <c r="D109" t="inlineStr">
        <is>
          <t>GRAM_ALTIN</t>
        </is>
      </c>
      <c r="E109" s="11" t="n">
        <v>7013.18</v>
      </c>
      <c r="F109" s="11" t="n">
        <v>7206.08</v>
      </c>
      <c r="G109" s="11">
        <f>IF(OR(E109="",F109=""),"",F109-E109)</f>
        <v/>
      </c>
      <c r="H109" s="12">
        <f>IFERROR(G109/E109,"")</f>
        <v/>
      </c>
      <c r="I109" s="13" t="inlineStr">
        <is>
          <t>OK</t>
        </is>
      </c>
      <c r="J109" s="14" t="inlineStr">
        <is>
          <t>https://altin.doviz.com/gram-altin</t>
        </is>
      </c>
      <c r="K109" s="11" t="n">
        <v>192.9</v>
      </c>
      <c r="L109" s="12" t="n">
        <v>0.0275</v>
      </c>
      <c r="M109" s="15" t="inlineStr"/>
      <c r="N109" s="10" t="n">
        <v>0.5575578703703704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</hyperlinks>
  <pageMargins left="0.75" right="0.75" top="1" bottom="1" header="0.5" footer="0.5"/>
  <tableParts count="1">
    <tablePart xmlns:r="http://schemas.openxmlformats.org/officeDocument/2006/relationships" r:id="rId10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26" customWidth="1" min="4" max="4"/>
    <col width="12" customWidth="1" min="5" max="5"/>
    <col width="60" customWidth="1" min="6" max="6"/>
    <col width="15" customWidth="1" min="7" max="7"/>
    <col width="15" customWidth="1" min="8" max="8"/>
    <col width="20" customWidth="1" min="9" max="9"/>
    <col width="20" customWidth="1" min="10" max="10"/>
    <col width="45" customWidth="1" min="11" max="11"/>
  </cols>
  <sheetData>
    <row r="1">
      <c r="A1" s="6" t="inlineStr">
        <is>
          <t>Tarih</t>
        </is>
      </c>
      <c r="B1" s="6" t="inlineStr">
        <is>
          <t>Saat</t>
        </is>
      </c>
      <c r="C1" s="6" t="inlineStr">
        <is>
          <t>Ürün</t>
        </is>
      </c>
      <c r="D1" s="6" t="inlineStr">
        <is>
          <t>Kurum / Sağlayıcı</t>
        </is>
      </c>
      <c r="E1" s="6" t="inlineStr">
        <is>
          <t>Durum</t>
        </is>
      </c>
      <c r="F1" s="6" t="inlineStr">
        <is>
          <t>Not</t>
        </is>
      </c>
      <c r="G1" s="6" t="inlineStr">
        <is>
          <t>Alış</t>
        </is>
      </c>
      <c r="H1" s="6" t="inlineStr">
        <is>
          <t>Satış</t>
        </is>
      </c>
      <c r="I1" s="6" t="inlineStr">
        <is>
          <t>Hesaplanan Makas %</t>
        </is>
      </c>
      <c r="J1" s="6" t="inlineStr">
        <is>
          <t>Sitedeki Makas %</t>
        </is>
      </c>
      <c r="K1" s="6" t="inlineStr">
        <is>
          <t>Kaynak</t>
        </is>
      </c>
    </row>
    <row r="2">
      <c r="A2" s="16" t="inlineStr">
        <is>
          <t>Son çekimde ERROR veya KONTROL kaydı yok.</t>
        </is>
      </c>
      <c r="F2" s="15" t="n"/>
    </row>
  </sheetData>
  <mergeCells count="1">
    <mergeCell ref="A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2026-08-28T10:22:53Z</dcterms:created>
  <dcterms:modified xsi:type="dcterms:W3CDTF">2026-08-28T10:22:53Z</dcterms:modified>
</cp:coreProperties>
</file>