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3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'GRAFIK_VERILERI'!$B$2:$B$9</f>
              <numCache>
                <formatCode>0.00%</formatCode>
                <ptCount val="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'GRAFIK_VERILERI'!$C$2:$C$9</f>
              <numCache>
                <formatCode>0.00%</formatCode>
                <ptCount val="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'GRAFIK_VERILERI'!$D$2:$D$9</f>
              <numCache>
                <formatCode>0.00%</formatCode>
                <ptCount val="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'GRAFIK_VERILERI'!$E$2:$E$9</f>
              <numCache>
                <formatCode>0.00%</formatCode>
                <ptCount val="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'GRAFIK_VERILERI'!$F$2:$F$9</f>
              <numCache>
                <formatCode>0.00%</formatCode>
                <ptCount val="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0375094990089"/>
          <min val="0.0124108340446191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'GRAFIK_VERILERI'!$G$2:$G$9</f>
              <numCache>
                <formatCode>0.00%</formatCode>
                <ptCount val="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'GRAFIK_VERILERI'!$H$2:$H$9</f>
              <numCache>
                <formatCode>0.00%</formatCode>
                <ptCount val="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'GRAFIK_VERILERI'!$I$2:$I$9</f>
              <numCache>
                <formatCode>0.00%</formatCode>
                <ptCount val="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'GRAFIK_VERILERI'!$J$2:$J$9</f>
              <numCache>
                <formatCode>0.00%</formatCode>
                <ptCount val="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'GRAFIK_VERILERI'!$K$2:$K$9</f>
              <numCache>
                <formatCode>0.00%</formatCode>
                <ptCount val="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6952637804505"/>
          <min val="0.0119103332017578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'GRAFIK_VERILERI'!$L$2:$L$9</f>
              <numCache>
                <formatCode>0.00%</formatCode>
                <ptCount val="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'GRAFIK_VERILERI'!$M$2:$M$9</f>
              <numCache>
                <formatCode>0.00%</formatCode>
                <ptCount val="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'GRAFIK_VERILERI'!$N$2:$N$9</f>
              <numCache>
                <formatCode>0.00%</formatCode>
                <ptCount val="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'GRAFIK_VERILERI'!$O$2:$O$9</f>
              <numCache>
                <formatCode>0.00%</formatCode>
                <ptCount val="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'GRAFIK_VERILERI'!$P$2:$P$9</f>
              <numCache>
                <formatCode>0.00%</formatCode>
                <ptCount val="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581080107"/>
          <min val="0.001344863412618431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0.02844650727811221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0.02841716740814283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0.02003126698380895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0.02023052896643625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0.02423904350681942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174394264411185"/>
          <min val="0.0158948310281172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0.02844673332410395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0.02846176873157642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0.01948453111277258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0.02023080272240418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0.02441258157484386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24339446049043"/>
          <min val="0.0146898967630702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0.03694183282830633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0.03612757126674167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0.02928038048274641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0.02019155658638526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0.02742482687083892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39548182685308"/>
          <min val="0.007961565932192357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'GRAFIK_VERILERI'!$B$2:$B$9</f>
              <numCache>
                <formatCode>0.00%</formatCode>
                <ptCount val="8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10606190364"/>
          <min val="0.0256172752018491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'GRAFIK_VERILERI'!$G$2:$G$9</f>
              <numCache>
                <formatCode>0.00%</formatCode>
                <ptCount val="8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969566577773"/>
          <min val="0.0256049177661492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'GRAFIK_VERILERI'!$L$2:$L$9</f>
              <numCache>
                <formatCode>0.00%</formatCode>
                <ptCount val="8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451621853293"/>
          <min val="0.03018749780083094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'GRAFIK_VERILERI'!$C$2:$C$9</f>
              <numCache>
                <formatCode>0.00%</formatCode>
                <ptCount val="8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309724202022"/>
          <min val="0.02253896686120076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'GRAFIK_VERILERI'!$H$2:$H$9</f>
              <numCache>
                <formatCode>0.00%</formatCode>
                <ptCount val="8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4172046593731"/>
          <min val="0.0224879480432498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'GRAFIK_VERILERI'!$M$2:$M$9</f>
              <numCache>
                <formatCode>0.00%</formatCode>
                <ptCount val="8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3619663327227"/>
          <min val="0.0262998596231305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'GRAFIK_VERILERI'!$D$2:$D$9</f>
              <numCache>
                <formatCode>0.00%</formatCode>
                <ptCount val="8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42184148574888"/>
          <min val="0.0114330459775777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'GRAFIK_VERILERI'!$I$2:$I$9</f>
              <numCache>
                <formatCode>0.00%</formatCode>
                <ptCount val="8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53561713702823"/>
          <min val="0.0120730618837130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'GRAFIK_VERILERI'!$N$2:$N$9</f>
              <numCache>
                <formatCode>0.00%</formatCode>
                <ptCount val="8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51214773181437"/>
          <min val="0.01790903273282896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'GRAFIK_VERILERI'!$E$2:$E$9</f>
              <numCache>
                <formatCode>0.00%</formatCode>
                <ptCount val="8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'GRAFIK_VERILERI'!$J$2:$J$9</f>
              <numCache>
                <formatCode>0.00%</formatCode>
                <ptCount val="8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'GRAFIK_VERILERI'!$O$2:$O$9</f>
              <numCache>
                <formatCode>0.00%</formatCode>
                <ptCount val="8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463655258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'GRAFIK_VERILERI'!$F$2:$F$9</f>
              <numCache>
                <formatCode>0.00%</formatCode>
                <ptCount val="8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'GRAFIK_VERILERI'!$K$2:$K$9</f>
              <numCache>
                <formatCode>0.00%</formatCode>
                <ptCount val="8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'GRAFIK_VERILERI'!$A$2:$A$9</f>
              <strCache>
                <ptCount val="8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</strCache>
            </strRef>
          </cat>
          <val>
            <numRef>
              <f>'GRAFIK_VERILERI'!$P$2:$P$9</f>
              <numCache>
                <formatCode>0.00%</formatCode>
                <ptCount val="8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36542993439"/>
          <min val="0.0076106387938960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865" headerRowCount="1">
  <autoFilter ref="A1:N865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table" Target="/xl/tables/table2.xml" Id="rId86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46269</v>
      </c>
      <c r="B2" s="6" t="n">
        <v>0.5602777777777778</v>
      </c>
      <c r="C2" s="7" t="inlineStr">
        <is>
          <t>Akbank</t>
        </is>
      </c>
      <c r="D2" s="8" t="n">
        <v>47.524</v>
      </c>
      <c r="E2" s="8" t="n">
        <v>48.874</v>
      </c>
      <c r="F2" s="8" t="n">
        <v>1.35</v>
      </c>
      <c r="G2" s="9" t="n">
        <v>0.0284066997727464</v>
      </c>
      <c r="H2" s="10" t="n">
        <v>55.2136</v>
      </c>
      <c r="I2" s="10" t="n">
        <v>56.7869</v>
      </c>
      <c r="J2" s="10" t="n">
        <v>1.5733</v>
      </c>
      <c r="K2" s="11" t="n">
        <v>0.02849479113841517</v>
      </c>
      <c r="L2" s="12" t="n">
        <v>6760.55</v>
      </c>
      <c r="M2" s="12" t="n">
        <v>7004.64</v>
      </c>
      <c r="N2" s="12" t="n">
        <v>244.09</v>
      </c>
      <c r="O2" s="13" t="n">
        <v>0.03610505062457936</v>
      </c>
    </row>
    <row r="3">
      <c r="A3" s="5" t="n">
        <v>46269</v>
      </c>
      <c r="B3" s="6" t="n">
        <v>0.5602777777777778</v>
      </c>
      <c r="C3" s="14" t="inlineStr">
        <is>
          <t>Albaraka Türk</t>
        </is>
      </c>
      <c r="D3" s="8" t="n">
        <v>48.042</v>
      </c>
      <c r="E3" s="8" t="n">
        <v>48.823</v>
      </c>
      <c r="F3" s="8" t="n">
        <v>0.781</v>
      </c>
      <c r="G3" s="9" t="n">
        <v>0.01625660880063278</v>
      </c>
      <c r="H3" s="10" t="n">
        <v>55.815</v>
      </c>
      <c r="I3" s="10" t="n">
        <v>56.728</v>
      </c>
      <c r="J3" s="10" t="n">
        <v>0.913</v>
      </c>
      <c r="K3" s="11" t="n">
        <v>0.01635760996147989</v>
      </c>
      <c r="L3" s="12" t="n">
        <v>6853.46</v>
      </c>
      <c r="M3" s="12" t="n">
        <v>6993.59</v>
      </c>
      <c r="N3" s="12" t="n">
        <v>140.13</v>
      </c>
      <c r="O3" s="13" t="n">
        <v>0.02044660653159134</v>
      </c>
    </row>
    <row r="4">
      <c r="A4" s="5" t="n">
        <v>46269</v>
      </c>
      <c r="B4" s="6" t="n">
        <v>0.5602777777777778</v>
      </c>
      <c r="C4" s="15" t="inlineStr">
        <is>
          <t>Alternatif Bank</t>
        </is>
      </c>
      <c r="D4" s="8" t="n">
        <v>48.23</v>
      </c>
      <c r="E4" s="8" t="n">
        <v>48.515</v>
      </c>
      <c r="F4" s="8" t="n">
        <v>0.285</v>
      </c>
      <c r="G4" s="9" t="n">
        <v>0.005909185154468173</v>
      </c>
      <c r="H4" s="10" t="n">
        <v>55.861</v>
      </c>
      <c r="I4" s="10" t="n">
        <v>56.377</v>
      </c>
      <c r="J4" s="10" t="n">
        <v>0.516</v>
      </c>
      <c r="K4" s="11" t="n">
        <v>0.00923721379853565</v>
      </c>
      <c r="L4" s="12" t="n">
        <v>6920.63</v>
      </c>
      <c r="M4" s="12" t="n">
        <v>6990.46</v>
      </c>
      <c r="N4" s="12" t="n">
        <v>69.83</v>
      </c>
      <c r="O4" s="13" t="n">
        <v>0.01009012185306829</v>
      </c>
    </row>
    <row r="5">
      <c r="A5" s="5" t="n">
        <v>46269</v>
      </c>
      <c r="B5" s="6" t="n">
        <v>0.5602777777777778</v>
      </c>
      <c r="C5" s="16" t="inlineStr">
        <is>
          <t>Altınkaynak</t>
        </is>
      </c>
      <c r="D5" s="8" t="n">
        <v>48.27</v>
      </c>
      <c r="E5" s="8" t="n">
        <v>48.48</v>
      </c>
      <c r="F5" s="8" t="n">
        <v>0.21</v>
      </c>
      <c r="G5" s="9" t="n">
        <v>0.00435052827843381</v>
      </c>
      <c r="H5" s="10" t="n">
        <v>55.94</v>
      </c>
      <c r="I5" s="10" t="n">
        <v>56.324</v>
      </c>
      <c r="J5" s="10" t="n">
        <v>0.384</v>
      </c>
      <c r="K5" s="11" t="n">
        <v>0.006864497676081516</v>
      </c>
      <c r="L5" s="12" t="n">
        <v>6842.63</v>
      </c>
      <c r="M5" s="12" t="n">
        <v>7015</v>
      </c>
      <c r="N5" s="12" t="n">
        <v>172.37</v>
      </c>
      <c r="O5" s="13" t="n">
        <v>0.02519060653579107</v>
      </c>
    </row>
    <row r="6">
      <c r="A6" s="5" t="n">
        <v>46269</v>
      </c>
      <c r="B6" s="6" t="n">
        <v>0.5602777777777778</v>
      </c>
      <c r="C6" s="17" t="inlineStr">
        <is>
          <t>Anadolubank</t>
        </is>
      </c>
      <c r="D6" s="8" t="n">
        <v>47.465</v>
      </c>
      <c r="E6" s="8" t="n">
        <v>48.7411</v>
      </c>
      <c r="F6" s="8" t="n">
        <v>1.2761</v>
      </c>
      <c r="G6" s="9" t="n">
        <v>0.0268850732118403</v>
      </c>
      <c r="H6" s="10" t="n">
        <v>55.2416</v>
      </c>
      <c r="I6" s="10" t="n">
        <v>56.6119</v>
      </c>
      <c r="J6" s="10" t="n">
        <v>1.3703</v>
      </c>
      <c r="K6" s="11" t="n">
        <v>0.02480558130104848</v>
      </c>
      <c r="L6" s="12" t="n">
        <v>6819.63</v>
      </c>
      <c r="M6" s="12" t="n">
        <v>6975.89</v>
      </c>
      <c r="N6" s="12" t="n">
        <v>156.26</v>
      </c>
      <c r="O6" s="13" t="n">
        <v>0.02291326655551694</v>
      </c>
    </row>
    <row r="7">
      <c r="A7" s="5" t="n">
        <v>46269</v>
      </c>
      <c r="B7" s="6" t="n">
        <v>0.5602777777777778</v>
      </c>
      <c r="C7" s="18" t="inlineStr">
        <is>
          <t>CEPTETEB</t>
        </is>
      </c>
      <c r="D7" s="8" t="n">
        <v>47.317</v>
      </c>
      <c r="E7" s="8" t="n">
        <v>49.24</v>
      </c>
      <c r="F7" s="8" t="n">
        <v>1.923</v>
      </c>
      <c r="G7" s="9" t="n">
        <v>0.0406407844960585</v>
      </c>
      <c r="H7" s="10" t="n">
        <v>54.968</v>
      </c>
      <c r="I7" s="10" t="n">
        <v>57.211</v>
      </c>
      <c r="J7" s="10" t="n">
        <v>2.243</v>
      </c>
      <c r="K7" s="11" t="n">
        <v>0.04080555959831175</v>
      </c>
      <c r="L7" s="12" t="n">
        <v>6821.76</v>
      </c>
      <c r="M7" s="12" t="n">
        <v>7016.15</v>
      </c>
      <c r="N7" s="12" t="n">
        <v>194.39</v>
      </c>
      <c r="O7" s="13" t="n">
        <v>0.02849557885355099</v>
      </c>
    </row>
    <row r="8">
      <c r="A8" s="5" t="n">
        <v>46269</v>
      </c>
      <c r="B8" s="6" t="n">
        <v>0.5602777777777778</v>
      </c>
      <c r="C8" s="19" t="inlineStr">
        <is>
          <t>Denizbank</t>
        </is>
      </c>
      <c r="D8" s="8" t="n">
        <v>47.5756</v>
      </c>
      <c r="E8" s="8" t="n">
        <v>48.9757</v>
      </c>
      <c r="F8" s="8" t="n">
        <v>1.4001</v>
      </c>
      <c r="G8" s="9" t="n">
        <v>0.02942895097486947</v>
      </c>
      <c r="H8" s="10" t="n">
        <v>55.2594</v>
      </c>
      <c r="I8" s="10" t="n">
        <v>56.8905</v>
      </c>
      <c r="J8" s="10" t="n">
        <v>1.6311</v>
      </c>
      <c r="K8" s="11" t="n">
        <v>0.02951715002334444</v>
      </c>
      <c r="L8" s="12" t="n">
        <v>6834.26</v>
      </c>
      <c r="M8" s="12" t="n">
        <v>7036.42</v>
      </c>
      <c r="N8" s="12" t="n">
        <v>202.16</v>
      </c>
      <c r="O8" s="13" t="n">
        <v>0.02958037885594051</v>
      </c>
    </row>
    <row r="9">
      <c r="A9" s="5" t="n">
        <v>46269</v>
      </c>
      <c r="B9" s="6" t="n">
        <v>0.5602777777777778</v>
      </c>
      <c r="C9" s="20" t="inlineStr">
        <is>
          <t>DestekBank</t>
        </is>
      </c>
      <c r="D9" s="8" t="n">
        <v>48.2258</v>
      </c>
      <c r="E9" s="8" t="n">
        <v>48.301</v>
      </c>
      <c r="F9" s="8" t="n">
        <v>0.0752</v>
      </c>
      <c r="G9" s="9" t="n">
        <v>0.001559331312285125</v>
      </c>
      <c r="H9" s="10" t="n">
        <v>56.0082</v>
      </c>
      <c r="I9" s="10" t="n">
        <v>56.1124</v>
      </c>
      <c r="J9" s="10" t="n">
        <v>0.1042</v>
      </c>
      <c r="K9" s="11" t="n">
        <v>0.001860441863869933</v>
      </c>
      <c r="L9" s="12" t="n">
        <v>6885.98</v>
      </c>
      <c r="M9" s="12" t="n">
        <v>6917.66</v>
      </c>
      <c r="N9" s="12" t="n">
        <v>31.68</v>
      </c>
      <c r="O9" s="13" t="n">
        <v>0.004600652339971943</v>
      </c>
    </row>
    <row r="10">
      <c r="A10" s="5" t="n">
        <v>46269</v>
      </c>
      <c r="B10" s="6" t="n">
        <v>0.5602777777777778</v>
      </c>
      <c r="C10" s="21" t="inlineStr">
        <is>
          <t>Dünya Katılım</t>
        </is>
      </c>
      <c r="D10" s="8" t="n">
        <v>48.2508</v>
      </c>
      <c r="E10" s="8" t="n">
        <v>48.2891</v>
      </c>
      <c r="F10" s="8" t="n">
        <v>0.0383</v>
      </c>
      <c r="G10" s="9" t="n">
        <v>0.0007937692224792128</v>
      </c>
      <c r="H10" s="10" t="n">
        <v>56.0087</v>
      </c>
      <c r="I10" s="10" t="n">
        <v>56.1183</v>
      </c>
      <c r="J10" s="10" t="n">
        <v>0.1096</v>
      </c>
      <c r="K10" s="11" t="n">
        <v>0.001956838848250361</v>
      </c>
      <c r="L10" s="12" t="n">
        <v>6883.87</v>
      </c>
      <c r="M10" s="12" t="n">
        <v>6916.87</v>
      </c>
      <c r="N10" s="12" t="n">
        <v>33</v>
      </c>
      <c r="O10" s="13" t="n">
        <v>0.004793815106909341</v>
      </c>
    </row>
    <row r="11">
      <c r="A11" s="5" t="n">
        <v>46269</v>
      </c>
      <c r="B11" s="6" t="n">
        <v>0.5602777777777778</v>
      </c>
      <c r="C11" s="22" t="inlineStr">
        <is>
          <t>Emlak Katılım</t>
        </is>
      </c>
      <c r="D11" s="8" t="n">
        <v>47.9329</v>
      </c>
      <c r="E11" s="8" t="n">
        <v>49.172</v>
      </c>
      <c r="F11" s="8" t="n">
        <v>1.2391</v>
      </c>
      <c r="G11" s="9" t="n">
        <v>0.02585072048634654</v>
      </c>
      <c r="H11" s="10" t="n">
        <v>55.5946</v>
      </c>
      <c r="I11" s="10" t="n">
        <v>56.8756</v>
      </c>
      <c r="J11" s="10" t="n">
        <v>1.281</v>
      </c>
      <c r="K11" s="11" t="n">
        <v>0.02304180621858958</v>
      </c>
      <c r="L11" s="12" t="n">
        <v>6858.32</v>
      </c>
      <c r="M11" s="12" t="n">
        <v>6970.45</v>
      </c>
      <c r="N11" s="12" t="n">
        <v>112.13</v>
      </c>
      <c r="O11" s="13" t="n">
        <v>0.01634948500507413</v>
      </c>
    </row>
    <row r="12">
      <c r="A12" s="5" t="n">
        <v>46269</v>
      </c>
      <c r="B12" s="6" t="n">
        <v>0.5602777777777778</v>
      </c>
      <c r="C12" s="23" t="inlineStr">
        <is>
          <t>Enpara</t>
        </is>
      </c>
      <c r="D12" s="8" t="n">
        <v>47.992</v>
      </c>
      <c r="E12" s="8" t="n">
        <v>48.842</v>
      </c>
      <c r="F12" s="8" t="n">
        <v>0.85</v>
      </c>
      <c r="G12" s="9" t="n">
        <v>0.01771128521420237</v>
      </c>
      <c r="H12" s="10" t="n">
        <v>55.6735</v>
      </c>
      <c r="I12" s="10" t="n">
        <v>56.8395</v>
      </c>
      <c r="J12" s="10" t="n">
        <v>1.166</v>
      </c>
      <c r="K12" s="11" t="n">
        <v>0.0209435368712224</v>
      </c>
      <c r="L12" s="12" t="n">
        <v>6850.3</v>
      </c>
      <c r="M12" s="12" t="n">
        <v>7009.47</v>
      </c>
      <c r="N12" s="12" t="n">
        <v>159.17</v>
      </c>
      <c r="O12" s="13" t="n">
        <v>0.02323547873815745</v>
      </c>
    </row>
    <row r="13">
      <c r="A13" s="5" t="n">
        <v>46269</v>
      </c>
      <c r="B13" s="6" t="n">
        <v>0.5602777777777778</v>
      </c>
      <c r="C13" s="24" t="inlineStr">
        <is>
          <t>Fibabanka</t>
        </is>
      </c>
      <c r="D13" s="8" t="n">
        <v>47.9956</v>
      </c>
      <c r="E13" s="8" t="n">
        <v>48.6215</v>
      </c>
      <c r="F13" s="8" t="n">
        <v>0.6259</v>
      </c>
      <c r="G13" s="9" t="n">
        <v>0.01304077873805099</v>
      </c>
      <c r="H13" s="10" t="n">
        <v>55.7755</v>
      </c>
      <c r="I13" s="10" t="n">
        <v>56.4604</v>
      </c>
      <c r="J13" s="10" t="n">
        <v>0.6849</v>
      </c>
      <c r="K13" s="11" t="n">
        <v>0.01227958512250002</v>
      </c>
      <c r="L13" s="12" t="n">
        <v>6902.96</v>
      </c>
      <c r="M13" s="12" t="n">
        <v>6959.99</v>
      </c>
      <c r="N13" s="12" t="n">
        <v>57.03</v>
      </c>
      <c r="O13" s="13" t="n">
        <v>0.008261673253213114</v>
      </c>
    </row>
    <row r="14">
      <c r="A14" s="5" t="n">
        <v>46269</v>
      </c>
      <c r="B14" s="6" t="n">
        <v>0.5602777777777778</v>
      </c>
      <c r="C14" s="25" t="inlineStr">
        <is>
          <t>Garanti BBVA</t>
        </is>
      </c>
      <c r="D14" s="8" t="n">
        <v>47.468</v>
      </c>
      <c r="E14" s="8" t="n">
        <v>48.818</v>
      </c>
      <c r="F14" s="8" t="n">
        <v>1.35</v>
      </c>
      <c r="G14" s="9" t="n">
        <v>0.02844021235358557</v>
      </c>
      <c r="H14" s="10" t="n">
        <v>55.156</v>
      </c>
      <c r="I14" s="10" t="n">
        <v>56.724</v>
      </c>
      <c r="J14" s="10" t="n">
        <v>1.568</v>
      </c>
      <c r="K14" s="11" t="n">
        <v>0.02842845746609617</v>
      </c>
      <c r="L14" s="12" t="n">
        <v>6801.66</v>
      </c>
      <c r="M14" s="12" t="n">
        <v>7052.92</v>
      </c>
      <c r="N14" s="12" t="n">
        <v>251.26</v>
      </c>
      <c r="O14" s="13" t="n">
        <v>0.03694098205438084</v>
      </c>
    </row>
    <row r="15">
      <c r="A15" s="5" t="n">
        <v>46269</v>
      </c>
      <c r="B15" s="6" t="n">
        <v>0.5602777777777778</v>
      </c>
      <c r="C15" s="26" t="inlineStr">
        <is>
          <t>Getirfinans</t>
        </is>
      </c>
      <c r="D15" s="8" t="n">
        <v>47.9956</v>
      </c>
      <c r="E15" s="8" t="n">
        <v>48.6215</v>
      </c>
      <c r="F15" s="8" t="n">
        <v>0.6259</v>
      </c>
      <c r="G15" s="9" t="n">
        <v>0.01304077873805099</v>
      </c>
      <c r="H15" s="10" t="n">
        <v>55.7712</v>
      </c>
      <c r="I15" s="10" t="n">
        <v>56.4555</v>
      </c>
      <c r="J15" s="10" t="n">
        <v>0.6843</v>
      </c>
      <c r="K15" s="11" t="n">
        <v>0.01226977364661331</v>
      </c>
      <c r="L15" s="12" t="n">
        <v>6904.04</v>
      </c>
      <c r="M15" s="12" t="n">
        <v>6961.05</v>
      </c>
      <c r="N15" s="12" t="n">
        <v>57.01</v>
      </c>
      <c r="O15" s="13" t="n">
        <v>0.008257484023846908</v>
      </c>
    </row>
    <row r="16">
      <c r="A16" s="5" t="n">
        <v>46269</v>
      </c>
      <c r="B16" s="6" t="n">
        <v>0.5602777777777778</v>
      </c>
      <c r="C16" s="27" t="inlineStr">
        <is>
          <t>Halkbank</t>
        </is>
      </c>
      <c r="D16" s="8" t="n">
        <v>47.8822</v>
      </c>
      <c r="E16" s="8" t="n">
        <v>48.8623</v>
      </c>
      <c r="F16" s="8" t="n">
        <v>0.9801</v>
      </c>
      <c r="G16" s="9" t="n">
        <v>0.02046898429896705</v>
      </c>
      <c r="H16" s="10" t="n">
        <v>55.6343</v>
      </c>
      <c r="I16" s="10" t="n">
        <v>56.7731</v>
      </c>
      <c r="J16" s="10" t="n">
        <v>1.1388</v>
      </c>
      <c r="K16" s="11" t="n">
        <v>0.02046938669130375</v>
      </c>
      <c r="L16" s="12" t="n">
        <v>6834.7</v>
      </c>
      <c r="M16" s="12" t="n">
        <v>7044.54</v>
      </c>
      <c r="N16" s="12" t="n">
        <v>209.84</v>
      </c>
      <c r="O16" s="13" t="n">
        <v>0.03070215225247633</v>
      </c>
    </row>
    <row r="17">
      <c r="A17" s="5" t="n">
        <v>46269</v>
      </c>
      <c r="B17" s="6" t="n">
        <v>0.5602777777777778</v>
      </c>
      <c r="C17" s="28" t="inlineStr">
        <is>
          <t>Harem</t>
        </is>
      </c>
      <c r="D17" s="8" t="n">
        <v>48.268</v>
      </c>
      <c r="E17" s="8" t="n">
        <v>48.32</v>
      </c>
      <c r="F17" s="8" t="n">
        <v>0.052</v>
      </c>
      <c r="G17" s="9" t="n">
        <v>0.00107731830612414</v>
      </c>
      <c r="H17" s="10" t="n">
        <v>55.932</v>
      </c>
      <c r="I17" s="10" t="n">
        <v>56.092</v>
      </c>
      <c r="J17" s="10" t="n">
        <v>0.16</v>
      </c>
      <c r="K17" s="11" t="n">
        <v>0.002860616462847744</v>
      </c>
      <c r="L17" s="12" t="n">
        <v>6867.73</v>
      </c>
      <c r="M17" s="12" t="n">
        <v>6942.05</v>
      </c>
      <c r="N17" s="12" t="n">
        <v>74.31999999999999</v>
      </c>
      <c r="O17" s="13" t="n">
        <v>0.01082162519493341</v>
      </c>
    </row>
    <row r="18">
      <c r="A18" s="5" t="n">
        <v>46269</v>
      </c>
      <c r="B18" s="6" t="n">
        <v>0.5602777777777778</v>
      </c>
      <c r="C18" s="29" t="inlineStr">
        <is>
          <t>Hayat Finans</t>
        </is>
      </c>
      <c r="D18" s="8" t="n">
        <v>48.2431</v>
      </c>
      <c r="E18" s="8" t="n">
        <v>48.4427</v>
      </c>
      <c r="F18" s="8" t="n">
        <v>0.1996</v>
      </c>
      <c r="G18" s="9" t="n">
        <v>0.004137379231434132</v>
      </c>
      <c r="H18" s="10" t="n">
        <v>56.057</v>
      </c>
      <c r="I18" s="10" t="n">
        <v>56.2856</v>
      </c>
      <c r="J18" s="10" t="n">
        <v>0.2286</v>
      </c>
      <c r="K18" s="11" t="n">
        <v>0.004077992043812548</v>
      </c>
      <c r="L18" s="12" t="n">
        <v>6914.71</v>
      </c>
      <c r="M18" s="12" t="n">
        <v>6963.51</v>
      </c>
      <c r="N18" s="12" t="n">
        <v>48.8</v>
      </c>
      <c r="O18" s="13" t="n">
        <v>0.007057418170827121</v>
      </c>
    </row>
    <row r="19">
      <c r="A19" s="5" t="n">
        <v>46269</v>
      </c>
      <c r="B19" s="6" t="n">
        <v>0.5602777777777778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6878.46</v>
      </c>
      <c r="M19" s="12" t="n">
        <v>7078.75</v>
      </c>
      <c r="N19" s="12" t="n">
        <v>200.29</v>
      </c>
      <c r="O19" s="13" t="n">
        <v>0.02911843639419289</v>
      </c>
    </row>
    <row r="20">
      <c r="A20" s="5" t="n">
        <v>46269</v>
      </c>
      <c r="B20" s="6" t="n">
        <v>0.5602777777777778</v>
      </c>
      <c r="C20" s="31" t="inlineStr">
        <is>
          <t>HSBC</t>
        </is>
      </c>
      <c r="D20" s="8" t="n">
        <v>47.8078</v>
      </c>
      <c r="E20" s="8" t="n">
        <v>48.7116</v>
      </c>
      <c r="F20" s="8" t="n">
        <v>0.9038</v>
      </c>
      <c r="G20" s="9" t="n">
        <v>0.01890486489652316</v>
      </c>
      <c r="H20" s="10" t="n">
        <v>55.5502</v>
      </c>
      <c r="I20" s="10" t="n">
        <v>56.6247</v>
      </c>
      <c r="J20" s="10" t="n">
        <v>1.0745</v>
      </c>
      <c r="K20" s="11" t="n">
        <v>0.01934286465215247</v>
      </c>
      <c r="L20" s="12" t="n">
        <v>6807.62</v>
      </c>
      <c r="M20" s="12" t="n">
        <v>7267.06</v>
      </c>
      <c r="N20" s="12" t="n">
        <v>459.44</v>
      </c>
      <c r="O20" s="13" t="n">
        <v>0.06748907841507017</v>
      </c>
    </row>
    <row r="21">
      <c r="A21" s="5" t="n">
        <v>46269</v>
      </c>
      <c r="B21" s="6" t="n">
        <v>0.5602777777777778</v>
      </c>
      <c r="C21" s="32" t="inlineStr">
        <is>
          <t>ING Bank</t>
        </is>
      </c>
      <c r="D21" s="8" t="n">
        <v>47.7612</v>
      </c>
      <c r="E21" s="8" t="n">
        <v>48.7674</v>
      </c>
      <c r="F21" s="8" t="n">
        <v>1.0062</v>
      </c>
      <c r="G21" s="9" t="n">
        <v>0.02106730986658627</v>
      </c>
      <c r="H21" s="10" t="n">
        <v>55.558</v>
      </c>
      <c r="I21" s="10" t="n">
        <v>56.5718</v>
      </c>
      <c r="J21" s="10" t="n">
        <v>1.0138</v>
      </c>
      <c r="K21" s="11" t="n">
        <v>0.01824759710572735</v>
      </c>
      <c r="L21" s="12" t="n">
        <v>6806.63</v>
      </c>
      <c r="M21" s="12" t="n">
        <v>7059.58</v>
      </c>
      <c r="N21" s="12" t="n">
        <v>252.95</v>
      </c>
      <c r="O21" s="13" t="n">
        <v>0.03716229617299604</v>
      </c>
    </row>
    <row r="22">
      <c r="A22" s="5" t="n">
        <v>46269</v>
      </c>
      <c r="B22" s="6" t="n">
        <v>0.5602777777777778</v>
      </c>
      <c r="C22" s="33" t="inlineStr">
        <is>
          <t>İş Bankası</t>
        </is>
      </c>
      <c r="D22" s="8" t="n">
        <v>47.6875</v>
      </c>
      <c r="E22" s="8" t="n">
        <v>48.846</v>
      </c>
      <c r="F22" s="8" t="n">
        <v>1.1585</v>
      </c>
      <c r="G22" s="9" t="n">
        <v>0.02429357798165137</v>
      </c>
      <c r="H22" s="10" t="n">
        <v>55.3938</v>
      </c>
      <c r="I22" s="10" t="n">
        <v>56.7493</v>
      </c>
      <c r="J22" s="10" t="n">
        <v>1.3555</v>
      </c>
      <c r="K22" s="11" t="n">
        <v>0.02447024757283306</v>
      </c>
      <c r="L22" s="12" t="n">
        <v>6827.22</v>
      </c>
      <c r="M22" s="12" t="n">
        <v>7014.43</v>
      </c>
      <c r="N22" s="12" t="n">
        <v>187.21</v>
      </c>
      <c r="O22" s="13" t="n">
        <v>0.02742111723366172</v>
      </c>
    </row>
    <row r="23">
      <c r="A23" s="5" t="n">
        <v>46269</v>
      </c>
      <c r="B23" s="6" t="n">
        <v>0.5602777777777778</v>
      </c>
      <c r="C23" s="34" t="inlineStr">
        <is>
          <t>Kapalıçarşı</t>
        </is>
      </c>
      <c r="D23" s="8" t="n">
        <v>48.29</v>
      </c>
      <c r="E23" s="8" t="n">
        <v>48.3</v>
      </c>
      <c r="F23" s="8" t="n">
        <v>0.01</v>
      </c>
      <c r="G23" s="9" t="n">
        <v>0.0002070822116380203</v>
      </c>
      <c r="H23" s="10" t="n">
        <v>56</v>
      </c>
      <c r="I23" s="10" t="n">
        <v>56.05</v>
      </c>
      <c r="J23" s="10" t="n">
        <v>0.05</v>
      </c>
      <c r="K23" s="11" t="n">
        <v>0.0008928571428571428</v>
      </c>
      <c r="L23" s="12" t="n">
        <v>6913.48</v>
      </c>
      <c r="M23" s="12" t="n">
        <v>6919.76</v>
      </c>
      <c r="N23" s="12" t="n">
        <v>6.28</v>
      </c>
      <c r="O23" s="13" t="n">
        <v>0.0009083703142266992</v>
      </c>
    </row>
    <row r="24">
      <c r="A24" s="5" t="n">
        <v>46269</v>
      </c>
      <c r="B24" s="6" t="n">
        <v>0.5602777777777778</v>
      </c>
      <c r="C24" s="35" t="inlineStr">
        <is>
          <t>Kuveyt Türk</t>
        </is>
      </c>
      <c r="D24" s="8" t="n">
        <v>47.6242</v>
      </c>
      <c r="E24" s="8" t="n">
        <v>48.6133</v>
      </c>
      <c r="F24" s="8" t="n">
        <v>0.9891</v>
      </c>
      <c r="G24" s="9" t="n">
        <v>0.02076885281012594</v>
      </c>
      <c r="H24" s="10" t="n">
        <v>55.3388</v>
      </c>
      <c r="I24" s="10" t="n">
        <v>56.4887</v>
      </c>
      <c r="J24" s="10" t="n">
        <v>1.1499</v>
      </c>
      <c r="K24" s="11" t="n">
        <v>0.02077927240923186</v>
      </c>
      <c r="L24" s="12" t="n">
        <v>6800.54</v>
      </c>
      <c r="M24" s="12" t="n">
        <v>6980.96</v>
      </c>
      <c r="N24" s="12" t="n">
        <v>180.42</v>
      </c>
      <c r="O24" s="13" t="n">
        <v>0.0265302461275134</v>
      </c>
    </row>
    <row r="25">
      <c r="A25" s="5" t="n">
        <v>46269</v>
      </c>
      <c r="B25" s="6" t="n">
        <v>0.5602777777777778</v>
      </c>
      <c r="C25" s="36" t="inlineStr">
        <is>
          <t>Merkez Bankası</t>
        </is>
      </c>
      <c r="D25" s="8" t="n">
        <v>48.2238</v>
      </c>
      <c r="E25" s="8" t="n">
        <v>48.3107</v>
      </c>
      <c r="F25" s="8" t="n">
        <v>0.08690000000000001</v>
      </c>
      <c r="G25" s="9" t="n">
        <v>0.00180201477278854</v>
      </c>
      <c r="H25" s="10" t="n">
        <v>55.9713</v>
      </c>
      <c r="I25" s="10" t="n">
        <v>56.0722</v>
      </c>
      <c r="J25" s="10" t="n">
        <v>0.1009</v>
      </c>
      <c r="K25" s="11" t="n">
        <v>0.00180270960295723</v>
      </c>
      <c r="L25" s="12" t="n"/>
      <c r="M25" s="12" t="n"/>
      <c r="N25" s="12" t="n"/>
      <c r="O25" s="13" t="n"/>
    </row>
    <row r="26">
      <c r="A26" s="5" t="n">
        <v>46269</v>
      </c>
      <c r="B26" s="6" t="n">
        <v>0.5602777777777778</v>
      </c>
      <c r="C26" s="37" t="inlineStr">
        <is>
          <t>Misyon Bank</t>
        </is>
      </c>
      <c r="D26" s="8" t="n">
        <v>48.2341</v>
      </c>
      <c r="E26" s="8" t="n">
        <v>48.2987</v>
      </c>
      <c r="F26" s="8" t="n">
        <v>0.0646</v>
      </c>
      <c r="G26" s="9" t="n">
        <v>0.001339301448560251</v>
      </c>
      <c r="H26" s="10" t="n">
        <v>56.0351</v>
      </c>
      <c r="I26" s="10" t="n">
        <v>56.1208</v>
      </c>
      <c r="J26" s="10" t="n">
        <v>0.0857</v>
      </c>
      <c r="K26" s="11" t="n">
        <v>0.001529398537702262</v>
      </c>
      <c r="L26" s="12" t="n">
        <v>6886.76</v>
      </c>
      <c r="M26" s="12" t="n">
        <v>6915.82</v>
      </c>
      <c r="N26" s="12" t="n">
        <v>29.06</v>
      </c>
      <c r="O26" s="13" t="n">
        <v>0.004219691117448554</v>
      </c>
    </row>
    <row r="27">
      <c r="A27" s="5" t="n">
        <v>46269</v>
      </c>
      <c r="B27" s="6" t="n">
        <v>0.5602777777777778</v>
      </c>
      <c r="C27" s="38" t="inlineStr">
        <is>
          <t>Odacı</t>
        </is>
      </c>
      <c r="D27" s="8" t="n">
        <v>48.265</v>
      </c>
      <c r="E27" s="8" t="n">
        <v>48.381</v>
      </c>
      <c r="F27" s="8" t="n">
        <v>0.116</v>
      </c>
      <c r="G27" s="9" t="n">
        <v>0.002403397907386305</v>
      </c>
      <c r="H27" s="10" t="n">
        <v>55.883</v>
      </c>
      <c r="I27" s="10" t="n">
        <v>56.076</v>
      </c>
      <c r="J27" s="10" t="n">
        <v>0.193</v>
      </c>
      <c r="K27" s="11" t="n">
        <v>0.003453644220961652</v>
      </c>
      <c r="L27" s="12" t="n">
        <v>6883</v>
      </c>
      <c r="M27" s="12" t="n">
        <v>6940</v>
      </c>
      <c r="N27" s="12" t="n">
        <v>57</v>
      </c>
      <c r="O27" s="13" t="n">
        <v>0.008281272700857184</v>
      </c>
    </row>
    <row r="28">
      <c r="A28" s="5" t="n">
        <v>46269</v>
      </c>
      <c r="B28" s="6" t="n">
        <v>0.5602777777777778</v>
      </c>
      <c r="C28" s="39" t="inlineStr">
        <is>
          <t>Odeabank</t>
        </is>
      </c>
      <c r="D28" s="8" t="n">
        <v>47.7825</v>
      </c>
      <c r="E28" s="8" t="n">
        <v>48.7825</v>
      </c>
      <c r="F28" s="8" t="n">
        <v>1</v>
      </c>
      <c r="G28" s="9" t="n">
        <v>0.02092816407680636</v>
      </c>
      <c r="H28" s="10" t="n">
        <v>55.541</v>
      </c>
      <c r="I28" s="10" t="n">
        <v>56.631</v>
      </c>
      <c r="J28" s="10" t="n">
        <v>1.09</v>
      </c>
      <c r="K28" s="11" t="n">
        <v>0.01962514178714823</v>
      </c>
      <c r="L28" s="12" t="n">
        <v>6892.6</v>
      </c>
      <c r="M28" s="12" t="n">
        <v>6992.6</v>
      </c>
      <c r="N28" s="12" t="n">
        <v>100</v>
      </c>
      <c r="O28" s="13" t="n">
        <v>0.01450831326349999</v>
      </c>
    </row>
    <row r="29">
      <c r="A29" s="5" t="n">
        <v>46269</v>
      </c>
      <c r="B29" s="6" t="n">
        <v>0.5602777777777778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6878.46</v>
      </c>
      <c r="M29" s="12" t="n">
        <v>7064.62</v>
      </c>
      <c r="N29" s="12" t="n">
        <v>186.16</v>
      </c>
      <c r="O29" s="13" t="n">
        <v>0.02706419750932621</v>
      </c>
    </row>
    <row r="30">
      <c r="A30" s="5" t="n">
        <v>46269</v>
      </c>
      <c r="B30" s="6" t="n">
        <v>0.5602777777777778</v>
      </c>
      <c r="C30" s="41" t="inlineStr">
        <is>
          <t>QNB Finansbank</t>
        </is>
      </c>
      <c r="D30" s="8" t="n">
        <v>47.657</v>
      </c>
      <c r="E30" s="8" t="n">
        <v>48.877</v>
      </c>
      <c r="F30" s="8" t="n">
        <v>1.22</v>
      </c>
      <c r="G30" s="9" t="n">
        <v>0.02559959712109449</v>
      </c>
      <c r="H30" s="10" t="n">
        <v>55.2564</v>
      </c>
      <c r="I30" s="10" t="n">
        <v>56.9143</v>
      </c>
      <c r="J30" s="10" t="n">
        <v>1.6579</v>
      </c>
      <c r="K30" s="11" t="n">
        <v>0.03000376426984024</v>
      </c>
      <c r="L30" s="12" t="n">
        <v>6799.9</v>
      </c>
      <c r="M30" s="12" t="n">
        <v>7004.56</v>
      </c>
      <c r="N30" s="12" t="n">
        <v>204.66</v>
      </c>
      <c r="O30" s="13" t="n">
        <v>0.03009750143384462</v>
      </c>
    </row>
    <row r="31">
      <c r="A31" s="5" t="n">
        <v>46269</v>
      </c>
      <c r="B31" s="6" t="n">
        <v>0.5602777777777778</v>
      </c>
      <c r="C31" s="42" t="inlineStr">
        <is>
          <t>TOM Bank Hadi</t>
        </is>
      </c>
      <c r="D31" s="8" t="n">
        <v>48.2899</v>
      </c>
      <c r="E31" s="8" t="n">
        <v>48.5078</v>
      </c>
      <c r="F31" s="8" t="n">
        <v>0.2179</v>
      </c>
      <c r="G31" s="9" t="n">
        <v>0.004512330735826746</v>
      </c>
      <c r="H31" s="10" t="n">
        <v>56.0218</v>
      </c>
      <c r="I31" s="10" t="n">
        <v>56.3592</v>
      </c>
      <c r="J31" s="10" t="n">
        <v>0.3374</v>
      </c>
      <c r="K31" s="11" t="n">
        <v>0.006022655466264918</v>
      </c>
      <c r="L31" s="12" t="n">
        <v>6919.66</v>
      </c>
      <c r="M31" s="12" t="n">
        <v>7127.25</v>
      </c>
      <c r="N31" s="12" t="n">
        <v>207.59</v>
      </c>
      <c r="O31" s="13" t="n">
        <v>0.0300000289031542</v>
      </c>
    </row>
    <row r="32">
      <c r="A32" s="5" t="n">
        <v>46269</v>
      </c>
      <c r="B32" s="6" t="n">
        <v>0.5602777777777778</v>
      </c>
      <c r="C32" s="43" t="inlineStr">
        <is>
          <t>Türkiye Finans</t>
        </is>
      </c>
      <c r="D32" s="8" t="n">
        <v>47.8576</v>
      </c>
      <c r="E32" s="8" t="n">
        <v>48.6678</v>
      </c>
      <c r="F32" s="8" t="n">
        <v>0.8102</v>
      </c>
      <c r="G32" s="9" t="n">
        <v>0.01692939052522483</v>
      </c>
      <c r="H32" s="10" t="n">
        <v>55.6424</v>
      </c>
      <c r="I32" s="10" t="n">
        <v>56.5036</v>
      </c>
      <c r="J32" s="10" t="n">
        <v>0.8612</v>
      </c>
      <c r="K32" s="11" t="n">
        <v>0.01547740571937947</v>
      </c>
      <c r="L32" s="12" t="n">
        <v>6834.06</v>
      </c>
      <c r="M32" s="12" t="n">
        <v>7031.93</v>
      </c>
      <c r="N32" s="12" t="n">
        <v>197.87</v>
      </c>
      <c r="O32" s="13" t="n">
        <v>0.02895350640761129</v>
      </c>
    </row>
    <row r="33">
      <c r="A33" s="5" t="n">
        <v>46269</v>
      </c>
      <c r="B33" s="6" t="n">
        <v>0.5602777777777778</v>
      </c>
      <c r="C33" s="44" t="inlineStr">
        <is>
          <t>Vakıf Katılım</t>
        </is>
      </c>
      <c r="D33" s="8" t="n">
        <v>48.1706</v>
      </c>
      <c r="E33" s="8" t="n">
        <v>48.3738</v>
      </c>
      <c r="F33" s="8" t="n">
        <v>0.2032</v>
      </c>
      <c r="G33" s="9" t="n">
        <v>0.004218340647614936</v>
      </c>
      <c r="H33" s="10" t="n">
        <v>55.9582</v>
      </c>
      <c r="I33" s="10" t="n">
        <v>56.1837</v>
      </c>
      <c r="J33" s="10" t="n">
        <v>0.2255</v>
      </c>
      <c r="K33" s="11" t="n">
        <v>0.004029793667416036</v>
      </c>
      <c r="L33" s="12" t="n">
        <v>6873.88</v>
      </c>
      <c r="M33" s="12" t="n">
        <v>6929.09</v>
      </c>
      <c r="N33" s="12" t="n">
        <v>55.21</v>
      </c>
      <c r="O33" s="13" t="n">
        <v>0.008031853916565317</v>
      </c>
    </row>
    <row r="34">
      <c r="A34" s="5" t="n">
        <v>46269</v>
      </c>
      <c r="B34" s="6" t="n">
        <v>0.5602777777777778</v>
      </c>
      <c r="C34" s="45" t="inlineStr">
        <is>
          <t>Vakıfbank</t>
        </is>
      </c>
      <c r="D34" s="8" t="n">
        <v>47.9393</v>
      </c>
      <c r="E34" s="8" t="n">
        <v>48.9003</v>
      </c>
      <c r="F34" s="8" t="n">
        <v>0.961</v>
      </c>
      <c r="G34" s="9" t="n">
        <v>0.02004618340276141</v>
      </c>
      <c r="H34" s="10" t="n">
        <v>55.6319</v>
      </c>
      <c r="I34" s="10" t="n">
        <v>56.8134</v>
      </c>
      <c r="J34" s="10" t="n">
        <v>1.1815</v>
      </c>
      <c r="K34" s="11" t="n">
        <v>0.02123781499463438</v>
      </c>
      <c r="L34" s="12" t="n">
        <v>6840.72</v>
      </c>
      <c r="M34" s="12" t="n">
        <v>6985.32</v>
      </c>
      <c r="N34" s="12" t="n">
        <v>144.6</v>
      </c>
      <c r="O34" s="13" t="n">
        <v>0.0211381258113181</v>
      </c>
    </row>
    <row r="35">
      <c r="A35" s="5" t="n">
        <v>46269</v>
      </c>
      <c r="B35" s="6" t="n">
        <v>0.5602777777777778</v>
      </c>
      <c r="C35" s="46" t="inlineStr">
        <is>
          <t>Venüs</t>
        </is>
      </c>
      <c r="D35" s="8" t="n">
        <v>48.278</v>
      </c>
      <c r="E35" s="8" t="n">
        <v>48.318</v>
      </c>
      <c r="F35" s="8" t="n">
        <v>0.04</v>
      </c>
      <c r="G35" s="9" t="n">
        <v>0.0008285347363188202</v>
      </c>
      <c r="H35" s="10" t="n">
        <v>55.954</v>
      </c>
      <c r="I35" s="10" t="n">
        <v>56.068</v>
      </c>
      <c r="J35" s="10" t="n">
        <v>0.114</v>
      </c>
      <c r="K35" s="11" t="n">
        <v>0.002037387854308897</v>
      </c>
      <c r="L35" s="12" t="n"/>
      <c r="M35" s="12" t="n"/>
      <c r="N35" s="12" t="n"/>
      <c r="O35" s="13" t="n"/>
    </row>
    <row r="36">
      <c r="A36" s="5" t="n">
        <v>46269</v>
      </c>
      <c r="B36" s="6" t="n">
        <v>0.5602777777777778</v>
      </c>
      <c r="C36" s="47" t="inlineStr">
        <is>
          <t>Yapıkredi</t>
        </is>
      </c>
      <c r="D36" s="8" t="n">
        <v>47.71</v>
      </c>
      <c r="E36" s="8" t="n">
        <v>48.62</v>
      </c>
      <c r="F36" s="8" t="n">
        <v>0.91</v>
      </c>
      <c r="G36" s="9" t="n">
        <v>0.01907356948228883</v>
      </c>
      <c r="H36" s="10" t="n">
        <v>55.44</v>
      </c>
      <c r="I36" s="10" t="n">
        <v>56.47</v>
      </c>
      <c r="J36" s="10" t="n">
        <v>1.03</v>
      </c>
      <c r="K36" s="11" t="n">
        <v>0.01857864357864358</v>
      </c>
      <c r="L36" s="12" t="n">
        <v>6813.67</v>
      </c>
      <c r="M36" s="12" t="n">
        <v>7004.42</v>
      </c>
      <c r="N36" s="12" t="n">
        <v>190.75</v>
      </c>
      <c r="O36" s="13" t="n">
        <v>0.02799519201839831</v>
      </c>
    </row>
    <row r="37">
      <c r="A37" s="5" t="n">
        <v>46269</v>
      </c>
      <c r="B37" s="6" t="n">
        <v>0.5602777777777778</v>
      </c>
      <c r="C37" s="48" t="inlineStr">
        <is>
          <t>Ziraat Bankası</t>
        </is>
      </c>
      <c r="D37" s="8" t="n">
        <v>47.9067</v>
      </c>
      <c r="E37" s="8" t="n">
        <v>48.8759</v>
      </c>
      <c r="F37" s="8" t="n">
        <v>0.9692</v>
      </c>
      <c r="G37" s="9" t="n">
        <v>0.02023099065475184</v>
      </c>
      <c r="H37" s="10" t="n">
        <v>55.6468</v>
      </c>
      <c r="I37" s="10" t="n">
        <v>56.7726</v>
      </c>
      <c r="J37" s="10" t="n">
        <v>1.1258</v>
      </c>
      <c r="K37" s="11" t="n">
        <v>0.0202311723225774</v>
      </c>
      <c r="L37" s="12" t="n">
        <v>6898.05</v>
      </c>
      <c r="M37" s="12" t="n">
        <v>7037.33</v>
      </c>
      <c r="N37" s="12" t="n">
        <v>139.28</v>
      </c>
      <c r="O37" s="13" t="n">
        <v>0.02019121345887606</v>
      </c>
    </row>
    <row r="38">
      <c r="A38" s="5" t="n">
        <v>46269</v>
      </c>
      <c r="B38" s="6" t="n">
        <v>0.5602777777777778</v>
      </c>
      <c r="C38" s="49" t="inlineStr">
        <is>
          <t>Ziraat Dinamik</t>
        </is>
      </c>
      <c r="D38" s="8" t="n">
        <v>47.9546</v>
      </c>
      <c r="E38" s="8" t="n">
        <v>48.6071</v>
      </c>
      <c r="F38" s="8" t="n">
        <v>0.6525</v>
      </c>
      <c r="G38" s="9" t="n">
        <v>0.01360661959436634</v>
      </c>
      <c r="H38" s="10" t="n">
        <v>55.6479</v>
      </c>
      <c r="I38" s="10" t="n">
        <v>56.4614</v>
      </c>
      <c r="J38" s="10" t="n">
        <v>0.8135</v>
      </c>
      <c r="K38" s="11" t="n">
        <v>0.01461870079553766</v>
      </c>
      <c r="L38" s="12" t="n">
        <v>6859.57</v>
      </c>
      <c r="M38" s="12" t="n">
        <v>6998.07</v>
      </c>
      <c r="N38" s="12" t="n">
        <v>138.5</v>
      </c>
      <c r="O38" s="13" t="n">
        <v>0.02019076997537747</v>
      </c>
    </row>
    <row r="39">
      <c r="A39" s="5" t="n">
        <v>46269</v>
      </c>
      <c r="B39" s="6" t="n">
        <v>0.5602777777777778</v>
      </c>
      <c r="C39" s="50" t="inlineStr">
        <is>
          <t>Ziraat Katılım</t>
        </is>
      </c>
      <c r="D39" s="8" t="n">
        <v>47.9117</v>
      </c>
      <c r="E39" s="8" t="n">
        <v>48.9114</v>
      </c>
      <c r="F39" s="8" t="n">
        <v>0.9997</v>
      </c>
      <c r="G39" s="9" t="n">
        <v>0.02086546709885059</v>
      </c>
      <c r="H39" s="10" t="n">
        <v>55.6275</v>
      </c>
      <c r="I39" s="10" t="n">
        <v>56.8438</v>
      </c>
      <c r="J39" s="10" t="n">
        <v>1.2163</v>
      </c>
      <c r="K39" s="11" t="n">
        <v>0.0218650847152937</v>
      </c>
      <c r="L39" s="12" t="n">
        <v>6880.35</v>
      </c>
      <c r="M39" s="12" t="n">
        <v>7098.77</v>
      </c>
      <c r="N39" s="12" t="n">
        <v>218.42</v>
      </c>
      <c r="O39" s="13" t="n">
        <v>0.03174547806434266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</hyperlinks>
  <pageMargins left="0.75" right="0.75" top="1" bottom="1" header="0.5" footer="0.5"/>
  <tableParts count="1">
    <tablePart xmlns:r="http://schemas.openxmlformats.org/officeDocument/2006/relationships" r:id="rId865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46269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0.5602777777777778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0.01907356948228883</v>
      </c>
      <c r="O5" s="71" t="inlineStr">
        <is>
          <t>Yapıkredi</t>
        </is>
      </c>
      <c r="P5" s="72" t="n">
        <v>47.71</v>
      </c>
      <c r="Q5" s="72" t="n">
        <v>48.62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0.01857864357864358</v>
      </c>
      <c r="O6" s="71" t="inlineStr">
        <is>
          <t>Yapıkredi</t>
        </is>
      </c>
      <c r="P6" s="72" t="n">
        <v>55.44</v>
      </c>
      <c r="Q6" s="72" t="n">
        <v>56.47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1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6" t="inlineStr">
        <is>
          <t>GRAM ALTIN</t>
        </is>
      </c>
      <c r="M7" s="62" t="n">
        <v>5</v>
      </c>
      <c r="N7" s="70" t="n">
        <v>0.02019121345887606</v>
      </c>
      <c r="O7" s="77" t="inlineStr">
        <is>
          <t>Ziraat Bankası</t>
        </is>
      </c>
      <c r="P7" s="72" t="n">
        <v>6898.05</v>
      </c>
      <c r="Q7" s="72" t="n">
        <v>7037.33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7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0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0.02844650727811221</v>
      </c>
      <c r="I10" s="67" t="n">
        <v>0.02844673332410395</v>
      </c>
      <c r="J10" s="68" t="n">
        <v>0.03694183282830633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0.02841716740814283</v>
      </c>
      <c r="I11" s="67" t="n">
        <v>0.02846176873157642</v>
      </c>
      <c r="J11" s="68" t="n">
        <v>0.03612757126674167</v>
      </c>
    </row>
    <row r="12">
      <c r="F12" s="62" t="inlineStr">
        <is>
          <t>Eylül 2026</t>
        </is>
      </c>
      <c r="G12" s="71" t="inlineStr">
        <is>
          <t>Yapıkredi</t>
        </is>
      </c>
      <c r="H12" s="66" t="n">
        <v>0.02003126698380895</v>
      </c>
      <c r="I12" s="67" t="n">
        <v>0.01948453111277258</v>
      </c>
      <c r="J12" s="68" t="n">
        <v>0.02928038048274641</v>
      </c>
    </row>
    <row r="13">
      <c r="F13" s="62" t="inlineStr">
        <is>
          <t>Eylül 2026</t>
        </is>
      </c>
      <c r="G13" s="77" t="inlineStr">
        <is>
          <t>Ziraat Bankası</t>
        </is>
      </c>
      <c r="H13" s="66" t="n">
        <v>0.02023052896643625</v>
      </c>
      <c r="I13" s="67" t="n">
        <v>0.02023080272240418</v>
      </c>
      <c r="J13" s="68" t="n">
        <v>0.02019155658638526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0.02423904350681942</v>
      </c>
      <c r="I14" s="67" t="n">
        <v>0.02441258157484386</v>
      </c>
      <c r="J14" s="68" t="n">
        <v>0.02742482687083892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0.02844650727811221</v>
      </c>
      <c r="V3" s="55" t="n">
        <v>0.02841716740814283</v>
      </c>
      <c r="W3" s="55" t="n">
        <v>0.02003126698380895</v>
      </c>
      <c r="X3" s="55" t="n">
        <v>0.02023052896643625</v>
      </c>
      <c r="Y3" s="55" t="n">
        <v>0.02423904350681942</v>
      </c>
      <c r="Z3" s="55" t="n">
        <v>0.02844673332410395</v>
      </c>
      <c r="AA3" s="55" t="n">
        <v>0.02846176873157642</v>
      </c>
      <c r="AB3" s="55" t="n">
        <v>0.01948453111277258</v>
      </c>
      <c r="AC3" s="55" t="n">
        <v>0.02023080272240418</v>
      </c>
      <c r="AD3" s="55" t="n">
        <v>0.02441258157484386</v>
      </c>
      <c r="AE3" s="55" t="n">
        <v>0.03694183282830633</v>
      </c>
      <c r="AF3" s="55" t="n">
        <v>0.03612757126674167</v>
      </c>
      <c r="AG3" s="55" t="n">
        <v>0.02928038048274641</v>
      </c>
      <c r="AH3" s="55" t="n">
        <v>0.02019155658638526</v>
      </c>
      <c r="AI3" s="55" t="n">
        <v>0.02742482687083892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2026-09-04T10:27:46Z</dcterms:created>
  <dcterms:modified xsi:type="dcterms:W3CDTF">2026-09-04T10:27:46Z</dcterms:modified>
</cp:coreProperties>
</file>