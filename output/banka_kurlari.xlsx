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'GRAFIK_VERILERI'!$B$2:$B$17</f>
              <numCache>
                <formatCode>0.00%</formatCode>
                <ptCount val="1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'GRAFIK_VERILERI'!$C$2:$C$17</f>
              <numCache>
                <formatCode>0.00%</formatCode>
                <ptCount val="1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'GRAFIK_VERILERI'!$D$2:$D$17</f>
              <numCache>
                <formatCode>0.00%</formatCode>
                <ptCount val="1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'GRAFIK_VERILERI'!$E$2:$E$17</f>
              <numCache>
                <formatCode>0.00%</formatCode>
                <ptCount val="1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'GRAFIK_VERILERI'!$F$2:$F$17</f>
              <numCache>
                <formatCode>0.00%</formatCode>
                <ptCount val="1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1379334763515"/>
          <min val="0.0123338423286564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'GRAFIK_VERILERI'!$G$2:$G$17</f>
              <numCache>
                <formatCode>0.00%</formatCode>
                <ptCount val="1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'GRAFIK_VERILERI'!$H$2:$H$17</f>
              <numCache>
                <formatCode>0.00%</formatCode>
                <ptCount val="1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'GRAFIK_VERILERI'!$I$2:$I$17</f>
              <numCache>
                <formatCode>0.00%</formatCode>
                <ptCount val="1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'GRAFIK_VERILERI'!$J$2:$J$17</f>
              <numCache>
                <formatCode>0.00%</formatCode>
                <ptCount val="1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'GRAFIK_VERILERI'!$K$2:$K$17</f>
              <numCache>
                <formatCode>0.00%</formatCode>
                <ptCount val="1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8244564025581"/>
          <min val="0.0118112855248088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'GRAFIK_VERILERI'!$L$2:$L$17</f>
              <numCache>
                <formatCode>0.00%</formatCode>
                <ptCount val="1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'GRAFIK_VERILERI'!$M$2:$M$17</f>
              <numCache>
                <formatCode>0.00%</formatCode>
                <ptCount val="1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'GRAFIK_VERILERI'!$N$2:$N$17</f>
              <numCache>
                <formatCode>0.00%</formatCode>
                <ptCount val="1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'GRAFIK_VERILERI'!$O$2:$O$17</f>
              <numCache>
                <formatCode>0.00%</formatCode>
                <ptCount val="1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'GRAFIK_VERILERI'!$P$2:$P$17</f>
              <numCache>
                <formatCode>0.00%</formatCode>
                <ptCount val="1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0.03187248088508202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0.03563707338948224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0.02848711215302166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0.03039219108113523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0.03204142578053147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47556586872994"/>
          <min val="0.0256190529727118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0.03187324098342881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0.03575042308916133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0.02667204844290965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0.03039204151664567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0.03215915946511781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16526686096986"/>
          <min val="0.022955541692727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0.04536077160931837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0.04826331844905296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0.04126256080439563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0.0513158469012546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0.05276387289165788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7941676358293"/>
          <min val="0.0321932207829042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'GRAFIK_VERILERI'!$B$2:$B$17</f>
              <numCache>
                <formatCode>0.00%</formatCode>
                <ptCount val="1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955942090576"/>
          <min val="0.0254100736617219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'GRAFIK_VERILERI'!$G$2:$G$17</f>
              <numCache>
                <formatCode>0.00%</formatCode>
                <ptCount val="1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232703886493"/>
          <min val="0.0254091295276260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'GRAFIK_VERILERI'!$L$2:$L$17</f>
              <numCache>
                <formatCode>0.00%</formatCode>
                <ptCount val="1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23294472573"/>
          <min val="0.030140618428484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'GRAFIK_VERILERI'!$C$2:$C$17</f>
              <numCache>
                <formatCode>0.00%</formatCode>
                <ptCount val="1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373805421947"/>
          <min val="0.0223932670601538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'GRAFIK_VERILERI'!$H$2:$H$17</f>
              <numCache>
                <formatCode>0.00%</formatCode>
                <ptCount val="1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6315625402209"/>
          <min val="0.022359333314741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'GRAFIK_VERILERI'!$M$2:$M$17</f>
              <numCache>
                <formatCode>0.00%</formatCode>
                <ptCount val="1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6504404895333"/>
          <min val="0.026126775129044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'GRAFIK_VERILERI'!$D$2:$D$17</f>
              <numCache>
                <formatCode>0.00%</formatCode>
                <ptCount val="1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4351417032827"/>
          <min val="0.0109346596588813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'GRAFIK_VERILERI'!$I$2:$I$17</f>
              <numCache>
                <formatCode>0.00%</formatCode>
                <ptCount val="1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2039948040076"/>
          <min val="0.0115417816759562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'GRAFIK_VERILERI'!$N$2:$N$17</f>
              <numCache>
                <formatCode>0.00%</formatCode>
                <ptCount val="1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294818895646342"/>
          <min val="0.0171696925287207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'GRAFIK_VERILERI'!$E$2:$E$17</f>
              <numCache>
                <formatCode>0.00%</formatCode>
                <ptCount val="1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'GRAFIK_VERILERI'!$J$2:$J$17</f>
              <numCache>
                <formatCode>0.00%</formatCode>
                <ptCount val="1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'GRAFIK_VERILERI'!$O$2:$O$17</f>
              <numCache>
                <formatCode>0.00%</formatCode>
                <ptCount val="1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'GRAFIK_VERILERI'!$F$2:$F$17</f>
              <numCache>
                <formatCode>0.00%</formatCode>
                <ptCount val="1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68208195189"/>
          <min val="0.0179412138666701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'GRAFIK_VERILERI'!$K$2:$K$17</f>
              <numCache>
                <formatCode>0.00%</formatCode>
                <ptCount val="1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878239445096"/>
          <min val="0.01789186865848883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'GRAFIK_VERILERI'!$A$2:$A$17</f>
              <strCache>
                <ptCount val="1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</strCache>
            </strRef>
          </cat>
          <val>
            <numRef>
              <f>'GRAFIK_VERILERI'!$P$2:$P$17</f>
              <numCache>
                <formatCode>0.00%</formatCode>
                <ptCount val="1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4506125945"/>
          <min val="0.00627167274168756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729" headerRowCount="1">
  <autoFilter ref="A1:N172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table" Target="/xl/tables/table2.xml" Id="rId172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46277</v>
      </c>
      <c r="B2" s="6" t="n">
        <v>0.4445023148148148</v>
      </c>
      <c r="C2" s="7" t="inlineStr">
        <is>
          <t>Akbank</t>
        </is>
      </c>
      <c r="D2" s="8" t="n">
        <v>47.039</v>
      </c>
      <c r="E2" s="8" t="n">
        <v>49.739</v>
      </c>
      <c r="F2" s="8" t="n">
        <v>2.7</v>
      </c>
      <c r="G2" s="9" t="n">
        <v>0.05739917940432407</v>
      </c>
      <c r="H2" s="10" t="n">
        <v>54.546</v>
      </c>
      <c r="I2" s="10" t="n">
        <v>57.7067</v>
      </c>
      <c r="J2" s="10" t="n">
        <v>3.1607</v>
      </c>
      <c r="K2" s="11" t="n">
        <v>0.05794558721079456</v>
      </c>
      <c r="L2" s="12" t="n">
        <v>6609.57</v>
      </c>
      <c r="M2" s="12" t="n">
        <v>7170.75</v>
      </c>
      <c r="N2" s="12" t="n">
        <v>561.1799999999999</v>
      </c>
      <c r="O2" s="13" t="n">
        <v>0.08490416169281816</v>
      </c>
    </row>
    <row r="3">
      <c r="A3" s="5" t="n">
        <v>46277</v>
      </c>
      <c r="B3" s="6" t="n">
        <v>0.4445023148148148</v>
      </c>
      <c r="C3" s="14" t="inlineStr">
        <is>
          <t>Albaraka Türk</t>
        </is>
      </c>
      <c r="D3" s="8" t="n">
        <v>47.98</v>
      </c>
      <c r="E3" s="8" t="n">
        <v>49.125</v>
      </c>
      <c r="F3" s="8" t="n">
        <v>1.145</v>
      </c>
      <c r="G3" s="9" t="n">
        <v>0.02386411004585244</v>
      </c>
      <c r="H3" s="10" t="n">
        <v>55.647</v>
      </c>
      <c r="I3" s="10" t="n">
        <v>56.995</v>
      </c>
      <c r="J3" s="10" t="n">
        <v>1.348</v>
      </c>
      <c r="K3" s="11" t="n">
        <v>0.02422412708681511</v>
      </c>
      <c r="L3" s="12" t="n">
        <v>6659.53</v>
      </c>
      <c r="M3" s="12" t="n">
        <v>6850.21</v>
      </c>
      <c r="N3" s="12" t="n">
        <v>190.68</v>
      </c>
      <c r="O3" s="13" t="n">
        <v>0.02863265125316651</v>
      </c>
    </row>
    <row r="4">
      <c r="A4" s="5" t="n">
        <v>46277</v>
      </c>
      <c r="B4" s="6" t="n">
        <v>0.4445023148148148</v>
      </c>
      <c r="C4" s="15" t="inlineStr">
        <is>
          <t>Alternatif Bank</t>
        </is>
      </c>
      <c r="D4" s="8" t="n">
        <v>46.499</v>
      </c>
      <c r="E4" s="8" t="n">
        <v>50.501</v>
      </c>
      <c r="F4" s="8" t="n">
        <v>4.002</v>
      </c>
      <c r="G4" s="9" t="n">
        <v>0.08606636701864556</v>
      </c>
      <c r="H4" s="10" t="n">
        <v>53.812</v>
      </c>
      <c r="I4" s="10" t="n">
        <v>58.626</v>
      </c>
      <c r="J4" s="10" t="n">
        <v>4.814</v>
      </c>
      <c r="K4" s="11" t="n">
        <v>0.08945960008919944</v>
      </c>
      <c r="L4" s="12" t="n">
        <v>6531.8</v>
      </c>
      <c r="M4" s="12" t="n">
        <v>7122.18</v>
      </c>
      <c r="N4" s="12" t="n">
        <v>590.38</v>
      </c>
      <c r="O4" s="13" t="n">
        <v>0.09038549863743532</v>
      </c>
    </row>
    <row r="5">
      <c r="A5" s="5" t="n">
        <v>46277</v>
      </c>
      <c r="B5" s="6" t="n">
        <v>0.4445023148148148</v>
      </c>
      <c r="C5" s="16" t="inlineStr">
        <is>
          <t>Altınkaynak</t>
        </is>
      </c>
      <c r="D5" s="8" t="n">
        <v>48.12</v>
      </c>
      <c r="E5" s="8" t="n">
        <v>48.716</v>
      </c>
      <c r="F5" s="8" t="n">
        <v>0.596</v>
      </c>
      <c r="G5" s="9" t="n">
        <v>0.01238570241064007</v>
      </c>
      <c r="H5" s="10" t="n">
        <v>55.642</v>
      </c>
      <c r="I5" s="10" t="n">
        <v>56.502</v>
      </c>
      <c r="J5" s="10" t="n">
        <v>0.86</v>
      </c>
      <c r="K5" s="11" t="n">
        <v>0.01545595054095827</v>
      </c>
      <c r="L5" s="12" t="n">
        <v>6647.98</v>
      </c>
      <c r="M5" s="12" t="n">
        <v>6865</v>
      </c>
      <c r="N5" s="12" t="n">
        <v>217.02</v>
      </c>
      <c r="O5" s="13" t="n">
        <v>0.03264450254062137</v>
      </c>
    </row>
    <row r="6">
      <c r="A6" s="5" t="n">
        <v>46277</v>
      </c>
      <c r="B6" s="6" t="n">
        <v>0.4445023148148148</v>
      </c>
      <c r="C6" s="17" t="inlineStr">
        <is>
          <t>Anadolubank</t>
        </is>
      </c>
      <c r="D6" s="8" t="n">
        <v>47.9597</v>
      </c>
      <c r="E6" s="8" t="n">
        <v>49.0193</v>
      </c>
      <c r="F6" s="8" t="n">
        <v>1.0596</v>
      </c>
      <c r="G6" s="9" t="n">
        <v>0.02209354937583012</v>
      </c>
      <c r="H6" s="10" t="n">
        <v>54.9759</v>
      </c>
      <c r="I6" s="10" t="n">
        <v>57.4047</v>
      </c>
      <c r="J6" s="10" t="n">
        <v>2.4288</v>
      </c>
      <c r="K6" s="11" t="n">
        <v>0.04417935859167381</v>
      </c>
      <c r="L6" s="12" t="n">
        <v>6135.36</v>
      </c>
      <c r="M6" s="12" t="n">
        <v>7347.15</v>
      </c>
      <c r="N6" s="12" t="n">
        <v>1211.79</v>
      </c>
      <c r="O6" s="13" t="n">
        <v>0.1975091926146143</v>
      </c>
    </row>
    <row r="7">
      <c r="A7" s="5" t="n">
        <v>46277</v>
      </c>
      <c r="B7" s="6" t="n">
        <v>0.4445023148148148</v>
      </c>
      <c r="C7" s="18" t="inlineStr">
        <is>
          <t>CEPTETEB</t>
        </is>
      </c>
      <c r="D7" s="8" t="n">
        <v>46.428</v>
      </c>
      <c r="E7" s="8" t="n">
        <v>50.589</v>
      </c>
      <c r="F7" s="8" t="n">
        <v>4.161</v>
      </c>
      <c r="G7" s="9" t="n">
        <v>0.08962264150943396</v>
      </c>
      <c r="H7" s="10" t="n">
        <v>53.919</v>
      </c>
      <c r="I7" s="10" t="n">
        <v>58.752</v>
      </c>
      <c r="J7" s="10" t="n">
        <v>4.833</v>
      </c>
      <c r="K7" s="11" t="n">
        <v>0.08963445167751628</v>
      </c>
      <c r="L7" s="12" t="n">
        <v>5841.9</v>
      </c>
      <c r="M7" s="12" t="n">
        <v>7840.83</v>
      </c>
      <c r="N7" s="12" t="n">
        <v>1998.93</v>
      </c>
      <c r="O7" s="13" t="n">
        <v>0.3421712114209418</v>
      </c>
    </row>
    <row r="8">
      <c r="A8" s="5" t="n">
        <v>46277</v>
      </c>
      <c r="B8" s="6" t="n">
        <v>0.4445023148148148</v>
      </c>
      <c r="C8" s="19" t="inlineStr">
        <is>
          <t>Denizbank</t>
        </is>
      </c>
      <c r="D8" s="8" t="n">
        <v>46.9397</v>
      </c>
      <c r="E8" s="8" t="n">
        <v>49.7398</v>
      </c>
      <c r="F8" s="8" t="n">
        <v>2.8001</v>
      </c>
      <c r="G8" s="9" t="n">
        <v>0.05965312944053754</v>
      </c>
      <c r="H8" s="10" t="n">
        <v>54.4193</v>
      </c>
      <c r="I8" s="10" t="n">
        <v>57.6705</v>
      </c>
      <c r="J8" s="10" t="n">
        <v>3.2512</v>
      </c>
      <c r="K8" s="11" t="n">
        <v>0.05974351011497759</v>
      </c>
      <c r="L8" s="12" t="n">
        <v>6557.99</v>
      </c>
      <c r="M8" s="12" t="n">
        <v>6951.2</v>
      </c>
      <c r="N8" s="12" t="n">
        <v>393.21</v>
      </c>
      <c r="O8" s="13" t="n">
        <v>0.05995892033992122</v>
      </c>
    </row>
    <row r="9">
      <c r="A9" s="5" t="n">
        <v>46277</v>
      </c>
      <c r="B9" s="6" t="n">
        <v>0.4445023148148148</v>
      </c>
      <c r="C9" s="20" t="inlineStr">
        <is>
          <t>DestekBank</t>
        </is>
      </c>
      <c r="D9" s="8" t="n">
        <v>48.1624</v>
      </c>
      <c r="E9" s="8" t="n">
        <v>48.632</v>
      </c>
      <c r="F9" s="8" t="n">
        <v>0.4696</v>
      </c>
      <c r="G9" s="9" t="n">
        <v>0.009750344667209275</v>
      </c>
      <c r="H9" s="10" t="n">
        <v>55.7951</v>
      </c>
      <c r="I9" s="10" t="n">
        <v>56.3558</v>
      </c>
      <c r="J9" s="10" t="n">
        <v>0.5607</v>
      </c>
      <c r="K9" s="11" t="n">
        <v>0.01004926955951329</v>
      </c>
      <c r="L9" s="12" t="n">
        <v>6686.61</v>
      </c>
      <c r="M9" s="12" t="n">
        <v>6773.69</v>
      </c>
      <c r="N9" s="12" t="n">
        <v>87.08</v>
      </c>
      <c r="O9" s="13" t="n">
        <v>0.01302304157113993</v>
      </c>
    </row>
    <row r="10">
      <c r="A10" s="5" t="n">
        <v>46277</v>
      </c>
      <c r="B10" s="6" t="n">
        <v>0.4445023148148148</v>
      </c>
      <c r="C10" s="21" t="inlineStr">
        <is>
          <t>Dünya Katılım</t>
        </is>
      </c>
      <c r="D10" s="8" t="n">
        <v>48.2714</v>
      </c>
      <c r="E10" s="8" t="n">
        <v>48.5141</v>
      </c>
      <c r="F10" s="8" t="n">
        <v>0.2427</v>
      </c>
      <c r="G10" s="9" t="n">
        <v>0.005027821857248805</v>
      </c>
      <c r="H10" s="10" t="n">
        <v>55.9171</v>
      </c>
      <c r="I10" s="10" t="n">
        <v>56.3022</v>
      </c>
      <c r="J10" s="10" t="n">
        <v>0.3851</v>
      </c>
      <c r="K10" s="11" t="n">
        <v>0.006886980905662132</v>
      </c>
      <c r="L10" s="12" t="n">
        <v>6700.28</v>
      </c>
      <c r="M10" s="12" t="n">
        <v>6764.35</v>
      </c>
      <c r="N10" s="12" t="n">
        <v>64.06999999999999</v>
      </c>
      <c r="O10" s="13" t="n">
        <v>0.009562286949202123</v>
      </c>
    </row>
    <row r="11">
      <c r="A11" s="5" t="n">
        <v>46277</v>
      </c>
      <c r="B11" s="6" t="n">
        <v>0.4445023148148148</v>
      </c>
      <c r="C11" s="22" t="inlineStr">
        <is>
          <t>Emlak Katılım</t>
        </is>
      </c>
      <c r="D11" s="8" t="n">
        <v>47.441</v>
      </c>
      <c r="E11" s="8" t="n">
        <v>50.1907</v>
      </c>
      <c r="F11" s="8" t="n">
        <v>2.7497</v>
      </c>
      <c r="G11" s="9" t="n">
        <v>0.05796041398790076</v>
      </c>
      <c r="H11" s="10" t="n">
        <v>54.9882</v>
      </c>
      <c r="I11" s="10" t="n">
        <v>58.0251</v>
      </c>
      <c r="J11" s="10" t="n">
        <v>3.0369</v>
      </c>
      <c r="K11" s="11" t="n">
        <v>0.05522821259833928</v>
      </c>
      <c r="L11" s="12" t="n">
        <v>5664.6</v>
      </c>
      <c r="M11" s="12" t="n">
        <v>7502.27</v>
      </c>
      <c r="N11" s="12" t="n">
        <v>1837.67</v>
      </c>
      <c r="O11" s="13" t="n">
        <v>0.3244130212195036</v>
      </c>
    </row>
    <row r="12">
      <c r="A12" s="5" t="n">
        <v>46277</v>
      </c>
      <c r="B12" s="6" t="n">
        <v>0.4445023148148148</v>
      </c>
      <c r="C12" s="23" t="inlineStr">
        <is>
          <t>Enpara</t>
        </is>
      </c>
      <c r="D12" s="8" t="n">
        <v>47.7538</v>
      </c>
      <c r="E12" s="8" t="n">
        <v>49.455</v>
      </c>
      <c r="F12" s="8" t="n">
        <v>1.7012</v>
      </c>
      <c r="G12" s="9" t="n">
        <v>0.03562439010089249</v>
      </c>
      <c r="H12" s="10" t="n">
        <v>55.1079</v>
      </c>
      <c r="I12" s="10" t="n">
        <v>57.6646</v>
      </c>
      <c r="J12" s="10" t="n">
        <v>2.5567</v>
      </c>
      <c r="K12" s="11" t="n">
        <v>0.04639443709522591</v>
      </c>
      <c r="L12" s="12" t="n">
        <v>6607.95</v>
      </c>
      <c r="M12" s="12" t="n">
        <v>6996.07</v>
      </c>
      <c r="N12" s="12" t="n">
        <v>388.12</v>
      </c>
      <c r="O12" s="13" t="n">
        <v>0.05873531125386845</v>
      </c>
    </row>
    <row r="13">
      <c r="A13" s="5" t="n">
        <v>46277</v>
      </c>
      <c r="B13" s="6" t="n">
        <v>0.4445023148148148</v>
      </c>
      <c r="C13" s="24" t="inlineStr">
        <is>
          <t>Fibabanka</t>
        </is>
      </c>
      <c r="D13" s="8" t="n">
        <v>46.9805</v>
      </c>
      <c r="E13" s="8" t="n">
        <v>50.2002</v>
      </c>
      <c r="F13" s="8" t="n">
        <v>3.2197</v>
      </c>
      <c r="G13" s="9" t="n">
        <v>0.06853268909441151</v>
      </c>
      <c r="H13" s="10" t="n">
        <v>54.2361</v>
      </c>
      <c r="I13" s="10" t="n">
        <v>58.6185</v>
      </c>
      <c r="J13" s="10" t="n">
        <v>4.3824</v>
      </c>
      <c r="K13" s="11" t="n">
        <v>0.08080227007472882</v>
      </c>
      <c r="L13" s="12" t="n">
        <v>6493.21</v>
      </c>
      <c r="M13" s="12" t="n">
        <v>7241.87</v>
      </c>
      <c r="N13" s="12" t="n">
        <v>748.66</v>
      </c>
      <c r="O13" s="13" t="n">
        <v>0.1152989045479817</v>
      </c>
    </row>
    <row r="14">
      <c r="A14" s="5" t="n">
        <v>46277</v>
      </c>
      <c r="B14" s="6" t="n">
        <v>0.4445023148148148</v>
      </c>
      <c r="C14" s="25" t="inlineStr">
        <is>
          <t>Garanti BBVA</t>
        </is>
      </c>
      <c r="D14" s="8" t="n">
        <v>47.371</v>
      </c>
      <c r="E14" s="8" t="n">
        <v>49.371</v>
      </c>
      <c r="F14" s="8" t="n">
        <v>2</v>
      </c>
      <c r="G14" s="9" t="n">
        <v>0.04221992358193831</v>
      </c>
      <c r="H14" s="10" t="n">
        <v>54.933</v>
      </c>
      <c r="I14" s="10" t="n">
        <v>57.253</v>
      </c>
      <c r="J14" s="10" t="n">
        <v>2.32</v>
      </c>
      <c r="K14" s="11" t="n">
        <v>0.04223326597855569</v>
      </c>
      <c r="L14" s="12" t="n">
        <v>6583.17</v>
      </c>
      <c r="M14" s="12" t="n">
        <v>7048.18</v>
      </c>
      <c r="N14" s="12" t="n">
        <v>465.01</v>
      </c>
      <c r="O14" s="13" t="n">
        <v>0.0706361828723852</v>
      </c>
    </row>
    <row r="15">
      <c r="A15" s="5" t="n">
        <v>46277</v>
      </c>
      <c r="B15" s="6" t="n">
        <v>0.4445023148148148</v>
      </c>
      <c r="C15" s="26" t="inlineStr">
        <is>
          <t>Getirfinans</t>
        </is>
      </c>
      <c r="D15" s="8" t="n">
        <v>46.9805</v>
      </c>
      <c r="E15" s="8" t="n">
        <v>50.2002</v>
      </c>
      <c r="F15" s="8" t="n">
        <v>3.2197</v>
      </c>
      <c r="G15" s="9" t="n">
        <v>0.06853268909441151</v>
      </c>
      <c r="H15" s="10" t="n">
        <v>54.2361</v>
      </c>
      <c r="I15" s="10" t="n">
        <v>58.6185</v>
      </c>
      <c r="J15" s="10" t="n">
        <v>4.3824</v>
      </c>
      <c r="K15" s="11" t="n">
        <v>0.08080227007472882</v>
      </c>
      <c r="L15" s="12" t="n">
        <v>6493.21</v>
      </c>
      <c r="M15" s="12" t="n">
        <v>7241.87</v>
      </c>
      <c r="N15" s="12" t="n">
        <v>748.66</v>
      </c>
      <c r="O15" s="13" t="n">
        <v>0.1152989045479817</v>
      </c>
    </row>
    <row r="16">
      <c r="A16" s="5" t="n">
        <v>46277</v>
      </c>
      <c r="B16" s="6" t="n">
        <v>0.4445023148148148</v>
      </c>
      <c r="C16" s="27" t="inlineStr">
        <is>
          <t>Halkbank</t>
        </is>
      </c>
      <c r="D16" s="8" t="n">
        <v>47.3245</v>
      </c>
      <c r="E16" s="8" t="n">
        <v>50.0245</v>
      </c>
      <c r="F16" s="8" t="n">
        <v>2.7</v>
      </c>
      <c r="G16" s="9" t="n">
        <v>0.0570529007173874</v>
      </c>
      <c r="H16" s="10" t="n">
        <v>54.9295</v>
      </c>
      <c r="I16" s="10" t="n">
        <v>58.0634</v>
      </c>
      <c r="J16" s="10" t="n">
        <v>3.1339</v>
      </c>
      <c r="K16" s="11" t="n">
        <v>0.05705313174159604</v>
      </c>
      <c r="L16" s="12" t="n">
        <v>6442.82</v>
      </c>
      <c r="M16" s="12" t="n">
        <v>7338.32</v>
      </c>
      <c r="N16" s="12" t="n">
        <v>895.5</v>
      </c>
      <c r="O16" s="13" t="n">
        <v>0.1389919321042649</v>
      </c>
    </row>
    <row r="17">
      <c r="A17" s="5" t="n">
        <v>46277</v>
      </c>
      <c r="B17" s="6" t="n">
        <v>0.4445023148148148</v>
      </c>
      <c r="C17" s="28" t="inlineStr">
        <is>
          <t>Harem</t>
        </is>
      </c>
      <c r="D17" s="8" t="n">
        <v>48.228</v>
      </c>
      <c r="E17" s="8" t="n">
        <v>48.571</v>
      </c>
      <c r="F17" s="8" t="n">
        <v>0.343</v>
      </c>
      <c r="G17" s="9" t="n">
        <v>0.007112051090652732</v>
      </c>
      <c r="H17" s="10" t="n">
        <v>55.759</v>
      </c>
      <c r="I17" s="10" t="n">
        <v>56.272</v>
      </c>
      <c r="J17" s="10" t="n">
        <v>0.513</v>
      </c>
      <c r="K17" s="11" t="n">
        <v>0.009200308470381464</v>
      </c>
      <c r="L17" s="12" t="n">
        <v>6676.15</v>
      </c>
      <c r="M17" s="12" t="n">
        <v>6799.23</v>
      </c>
      <c r="N17" s="12" t="n">
        <v>123.08</v>
      </c>
      <c r="O17" s="13" t="n">
        <v>0.01843577510990616</v>
      </c>
    </row>
    <row r="18">
      <c r="A18" s="5" t="n">
        <v>46277</v>
      </c>
      <c r="B18" s="6" t="n">
        <v>0.4445023148148148</v>
      </c>
      <c r="C18" s="29" t="inlineStr">
        <is>
          <t>Hayat Finans</t>
        </is>
      </c>
      <c r="D18" s="8" t="n">
        <v>47.5305</v>
      </c>
      <c r="E18" s="8" t="n">
        <v>48.9122</v>
      </c>
      <c r="F18" s="8" t="n">
        <v>1.3817</v>
      </c>
      <c r="G18" s="9" t="n">
        <v>0.02906975520981265</v>
      </c>
      <c r="H18" s="10" t="n">
        <v>55.2339</v>
      </c>
      <c r="I18" s="10" t="n">
        <v>56.743</v>
      </c>
      <c r="J18" s="10" t="n">
        <v>1.5091</v>
      </c>
      <c r="K18" s="11" t="n">
        <v>0.02732198885104981</v>
      </c>
      <c r="L18" s="12" t="n">
        <v>6661.9</v>
      </c>
      <c r="M18" s="12" t="n">
        <v>6903.69</v>
      </c>
      <c r="N18" s="12" t="n">
        <v>241.79</v>
      </c>
      <c r="O18" s="13" t="n">
        <v>0.03629445053213047</v>
      </c>
    </row>
    <row r="19">
      <c r="A19" s="5" t="n">
        <v>46277</v>
      </c>
      <c r="B19" s="6" t="n">
        <v>0.4445023148148148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6676.73</v>
      </c>
      <c r="M19" s="12" t="n">
        <v>6871.19</v>
      </c>
      <c r="N19" s="12" t="n">
        <v>194.46</v>
      </c>
      <c r="O19" s="13" t="n">
        <v>0.02912503575852251</v>
      </c>
    </row>
    <row r="20">
      <c r="A20" s="5" t="n">
        <v>46277</v>
      </c>
      <c r="B20" s="6" t="n">
        <v>0.4445023148148148</v>
      </c>
      <c r="C20" s="31" t="inlineStr">
        <is>
          <t>HSBC</t>
        </is>
      </c>
      <c r="D20" s="8" t="n">
        <v>47.7287</v>
      </c>
      <c r="E20" s="8" t="n">
        <v>49.6476</v>
      </c>
      <c r="F20" s="8" t="n">
        <v>1.9189</v>
      </c>
      <c r="G20" s="9" t="n">
        <v>0.04020432150886154</v>
      </c>
      <c r="H20" s="10" t="n">
        <v>54.9162</v>
      </c>
      <c r="I20" s="10" t="n">
        <v>58.0792</v>
      </c>
      <c r="J20" s="10" t="n">
        <v>3.163</v>
      </c>
      <c r="K20" s="11" t="n">
        <v>0.05759684756046485</v>
      </c>
      <c r="L20" s="12" t="n">
        <v>6611.29</v>
      </c>
      <c r="M20" s="12" t="n">
        <v>7257.69</v>
      </c>
      <c r="N20" s="12" t="n">
        <v>646.4</v>
      </c>
      <c r="O20" s="13" t="n">
        <v>0.09777214431676723</v>
      </c>
    </row>
    <row r="21">
      <c r="A21" s="5" t="n">
        <v>46277</v>
      </c>
      <c r="B21" s="6" t="n">
        <v>0.4445023148148148</v>
      </c>
      <c r="C21" s="32" t="inlineStr">
        <is>
          <t>ING Bank</t>
        </is>
      </c>
      <c r="D21" s="8" t="n">
        <v>47.1609</v>
      </c>
      <c r="E21" s="8" t="n">
        <v>49.659</v>
      </c>
      <c r="F21" s="8" t="n">
        <v>2.4981</v>
      </c>
      <c r="G21" s="9" t="n">
        <v>0.05296972704083255</v>
      </c>
      <c r="H21" s="10" t="n">
        <v>54.906</v>
      </c>
      <c r="I21" s="10" t="n">
        <v>57.4239</v>
      </c>
      <c r="J21" s="10" t="n">
        <v>2.5179</v>
      </c>
      <c r="K21" s="11" t="n">
        <v>0.04585837613375587</v>
      </c>
      <c r="L21" s="12" t="n">
        <v>6547.32</v>
      </c>
      <c r="M21" s="12" t="n">
        <v>6983.67</v>
      </c>
      <c r="N21" s="12" t="n">
        <v>436.35</v>
      </c>
      <c r="O21" s="13" t="n">
        <v>0.06664558934037132</v>
      </c>
    </row>
    <row r="22">
      <c r="A22" s="5" t="n">
        <v>46277</v>
      </c>
      <c r="B22" s="6" t="n">
        <v>0.4445023148148148</v>
      </c>
      <c r="C22" s="33" t="inlineStr">
        <is>
          <t>İş Bankası</t>
        </is>
      </c>
      <c r="D22" s="8" t="n">
        <v>47.2991</v>
      </c>
      <c r="E22" s="8" t="n">
        <v>49.9223</v>
      </c>
      <c r="F22" s="8" t="n">
        <v>2.6232</v>
      </c>
      <c r="G22" s="9" t="n">
        <v>0.05545982904537295</v>
      </c>
      <c r="H22" s="10" t="n">
        <v>54.8291</v>
      </c>
      <c r="I22" s="10" t="n">
        <v>57.8799</v>
      </c>
      <c r="J22" s="10" t="n">
        <v>3.0508</v>
      </c>
      <c r="K22" s="11" t="n">
        <v>0.05564198573385301</v>
      </c>
      <c r="L22" s="12" t="n">
        <v>6361.77</v>
      </c>
      <c r="M22" s="12" t="n">
        <v>7208.9</v>
      </c>
      <c r="N22" s="12" t="n">
        <v>847.13</v>
      </c>
      <c r="O22" s="13" t="n">
        <v>0.1331594823453221</v>
      </c>
    </row>
    <row r="23">
      <c r="A23" s="5" t="n">
        <v>46277</v>
      </c>
      <c r="B23" s="6" t="n">
        <v>0.4445023148148148</v>
      </c>
      <c r="C23" s="34" t="inlineStr">
        <is>
          <t>Kapalıçarşı</t>
        </is>
      </c>
      <c r="D23" s="8" t="n">
        <v>48.46</v>
      </c>
      <c r="E23" s="8" t="n">
        <v>48.47</v>
      </c>
      <c r="F23" s="8" t="n">
        <v>0.01</v>
      </c>
      <c r="G23" s="9" t="n">
        <v>0.0002063557573256294</v>
      </c>
      <c r="H23" s="10" t="n">
        <v>56.05</v>
      </c>
      <c r="I23" s="10" t="n">
        <v>56.1</v>
      </c>
      <c r="J23" s="10" t="n">
        <v>0.05</v>
      </c>
      <c r="K23" s="11" t="n">
        <v>0.0008920606601248884</v>
      </c>
      <c r="L23" s="12" t="n">
        <v>6818.49</v>
      </c>
      <c r="M23" s="12" t="n">
        <v>6829.64</v>
      </c>
      <c r="N23" s="12" t="n">
        <v>11.15</v>
      </c>
      <c r="O23" s="13" t="n">
        <v>0.001635259419607567</v>
      </c>
    </row>
    <row r="24">
      <c r="A24" s="5" t="n">
        <v>46277</v>
      </c>
      <c r="B24" s="6" t="n">
        <v>0.4445023148148148</v>
      </c>
      <c r="C24" s="35" t="inlineStr">
        <is>
          <t>Kuveyt Türk</t>
        </is>
      </c>
      <c r="D24" s="8" t="n">
        <v>44.8508</v>
      </c>
      <c r="E24" s="8" t="n">
        <v>52.0336</v>
      </c>
      <c r="F24" s="8" t="n">
        <v>7.1828</v>
      </c>
      <c r="G24" s="9" t="n">
        <v>0.1601487598883409</v>
      </c>
      <c r="H24" s="10" t="n">
        <v>52.0045</v>
      </c>
      <c r="I24" s="10" t="n">
        <v>57.442</v>
      </c>
      <c r="J24" s="10" t="n">
        <v>5.4375</v>
      </c>
      <c r="K24" s="11" t="n">
        <v>0.1045582593813997</v>
      </c>
      <c r="L24" s="12" t="n">
        <v>6319.02</v>
      </c>
      <c r="M24" s="12" t="n">
        <v>6956.94</v>
      </c>
      <c r="N24" s="12" t="n">
        <v>637.92</v>
      </c>
      <c r="O24" s="13" t="n">
        <v>0.1009523628663938</v>
      </c>
    </row>
    <row r="25">
      <c r="A25" s="5" t="n">
        <v>46277</v>
      </c>
      <c r="B25" s="6" t="n">
        <v>0.4445023148148148</v>
      </c>
      <c r="C25" s="36" t="inlineStr">
        <is>
          <t>Merkez Bankası</t>
        </is>
      </c>
      <c r="D25" s="8" t="n">
        <v>48.4305</v>
      </c>
      <c r="E25" s="8" t="n">
        <v>48.5178</v>
      </c>
      <c r="F25" s="8" t="n">
        <v>0.0873</v>
      </c>
      <c r="G25" s="9" t="n">
        <v>0.001802583082974572</v>
      </c>
      <c r="H25" s="10" t="n">
        <v>56.1754</v>
      </c>
      <c r="I25" s="10" t="n">
        <v>56.2766</v>
      </c>
      <c r="J25" s="10" t="n">
        <v>0.1012</v>
      </c>
      <c r="K25" s="11" t="n">
        <v>0.00180150030084343</v>
      </c>
      <c r="L25" s="12" t="n"/>
      <c r="M25" s="12" t="n"/>
      <c r="N25" s="12" t="n"/>
      <c r="O25" s="13" t="n"/>
    </row>
    <row r="26">
      <c r="A26" s="5" t="n">
        <v>46277</v>
      </c>
      <c r="B26" s="6" t="n">
        <v>0.4445023148148148</v>
      </c>
      <c r="C26" s="37" t="inlineStr">
        <is>
          <t>Misyon Bank</t>
        </is>
      </c>
      <c r="D26" s="8" t="n">
        <v>48.1201</v>
      </c>
      <c r="E26" s="8" t="n">
        <v>48.6788</v>
      </c>
      <c r="F26" s="8" t="n">
        <v>0.5587</v>
      </c>
      <c r="G26" s="9" t="n">
        <v>0.01161053281269158</v>
      </c>
      <c r="H26" s="10" t="n">
        <v>51.0873</v>
      </c>
      <c r="I26" s="10" t="n">
        <v>61.2488</v>
      </c>
      <c r="J26" s="10" t="n">
        <v>10.1615</v>
      </c>
      <c r="K26" s="11" t="n">
        <v>0.1989046201306391</v>
      </c>
      <c r="L26" s="12" t="n">
        <v>6688.44</v>
      </c>
      <c r="M26" s="12" t="n">
        <v>6785.56</v>
      </c>
      <c r="N26" s="12" t="n">
        <v>97.12</v>
      </c>
      <c r="O26" s="13" t="n">
        <v>0.01452057579943903</v>
      </c>
    </row>
    <row r="27">
      <c r="A27" s="5" t="n">
        <v>46277</v>
      </c>
      <c r="B27" s="6" t="n">
        <v>0.4445023148148148</v>
      </c>
      <c r="C27" s="38" t="inlineStr">
        <is>
          <t>Odacı</t>
        </is>
      </c>
      <c r="D27" s="8" t="n">
        <v>48.507</v>
      </c>
      <c r="E27" s="8" t="n">
        <v>48.362</v>
      </c>
      <c r="F27" s="8" t="n">
        <v>-0.145</v>
      </c>
      <c r="G27" s="9" t="n">
        <v>-0.00298925928216546</v>
      </c>
      <c r="H27" s="10" t="n">
        <v>56.074</v>
      </c>
      <c r="I27" s="10" t="n">
        <v>55.959</v>
      </c>
      <c r="J27" s="10" t="n">
        <v>-0.115</v>
      </c>
      <c r="K27" s="11" t="n">
        <v>-0.002050861361771944</v>
      </c>
      <c r="L27" s="12" t="n">
        <v>6731</v>
      </c>
      <c r="M27" s="12" t="n">
        <v>6742</v>
      </c>
      <c r="N27" s="12" t="n">
        <v>11</v>
      </c>
      <c r="O27" s="13" t="n">
        <v>0.001634229683553707</v>
      </c>
    </row>
    <row r="28">
      <c r="A28" s="5" t="n">
        <v>46277</v>
      </c>
      <c r="B28" s="6" t="n">
        <v>0.4445023148148148</v>
      </c>
      <c r="C28" s="39" t="inlineStr">
        <is>
          <t>Odeabank</t>
        </is>
      </c>
      <c r="D28" s="8" t="n">
        <v>47.502</v>
      </c>
      <c r="E28" s="8" t="n">
        <v>49.302</v>
      </c>
      <c r="F28" s="8" t="n">
        <v>1.8</v>
      </c>
      <c r="G28" s="9" t="n">
        <v>0.03789314134141721</v>
      </c>
      <c r="H28" s="10" t="n">
        <v>55.062</v>
      </c>
      <c r="I28" s="10" t="n">
        <v>57.202</v>
      </c>
      <c r="J28" s="10" t="n">
        <v>2.14</v>
      </c>
      <c r="K28" s="11" t="n">
        <v>0.03886527913987868</v>
      </c>
      <c r="L28" s="12" t="n">
        <v>6592.83</v>
      </c>
      <c r="M28" s="12" t="n">
        <v>6942.83</v>
      </c>
      <c r="N28" s="12" t="n">
        <v>350</v>
      </c>
      <c r="O28" s="13" t="n">
        <v>0.05308797587682376</v>
      </c>
    </row>
    <row r="29">
      <c r="A29" s="5" t="n">
        <v>46277</v>
      </c>
      <c r="B29" s="6" t="n">
        <v>0.4445023148148148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6676.82</v>
      </c>
      <c r="M29" s="12" t="n">
        <v>6857.57</v>
      </c>
      <c r="N29" s="12" t="n">
        <v>180.75</v>
      </c>
      <c r="O29" s="13" t="n">
        <v>0.02707127045509689</v>
      </c>
    </row>
    <row r="30">
      <c r="A30" s="5" t="n">
        <v>46277</v>
      </c>
      <c r="B30" s="6" t="n">
        <v>0.4445023148148148</v>
      </c>
      <c r="C30" s="41" t="inlineStr">
        <is>
          <t>QNB Finansbank</t>
        </is>
      </c>
      <c r="D30" s="8" t="n">
        <v>47.095</v>
      </c>
      <c r="E30" s="8" t="n">
        <v>50.115</v>
      </c>
      <c r="F30" s="8" t="n">
        <v>3.02</v>
      </c>
      <c r="G30" s="9" t="n">
        <v>0.06412570336553775</v>
      </c>
      <c r="H30" s="10" t="n">
        <v>54.0692</v>
      </c>
      <c r="I30" s="10" t="n">
        <v>58.7307</v>
      </c>
      <c r="J30" s="10" t="n">
        <v>4.6615</v>
      </c>
      <c r="K30" s="11" t="n">
        <v>0.08621359295125507</v>
      </c>
      <c r="L30" s="12" t="n">
        <v>6456.55</v>
      </c>
      <c r="M30" s="12" t="n">
        <v>7073.6</v>
      </c>
      <c r="N30" s="12" t="n">
        <v>617.05</v>
      </c>
      <c r="O30" s="13" t="n">
        <v>0.09556961535185199</v>
      </c>
    </row>
    <row r="31">
      <c r="A31" s="5" t="n">
        <v>46277</v>
      </c>
      <c r="B31" s="6" t="n">
        <v>0.4445023148148148</v>
      </c>
      <c r="C31" s="42" t="inlineStr">
        <is>
          <t>TOM Bank Hadi</t>
        </is>
      </c>
      <c r="D31" s="8" t="n">
        <v>48.2452</v>
      </c>
      <c r="E31" s="8" t="n">
        <v>48.7913</v>
      </c>
      <c r="F31" s="8" t="n">
        <v>0.5461</v>
      </c>
      <c r="G31" s="9" t="n">
        <v>0.01131926077620157</v>
      </c>
      <c r="H31" s="10" t="n">
        <v>55.7498</v>
      </c>
      <c r="I31" s="10" t="n">
        <v>56.5945</v>
      </c>
      <c r="J31" s="10" t="n">
        <v>0.8447</v>
      </c>
      <c r="K31" s="11" t="n">
        <v>0.01515162386232776</v>
      </c>
      <c r="L31" s="12" t="n">
        <v>6669.54</v>
      </c>
      <c r="M31" s="12" t="n">
        <v>6922.82</v>
      </c>
      <c r="N31" s="12" t="n">
        <v>253.28</v>
      </c>
      <c r="O31" s="13" t="n">
        <v>0.03797563250239147</v>
      </c>
    </row>
    <row r="32">
      <c r="A32" s="5" t="n">
        <v>46277</v>
      </c>
      <c r="B32" s="6" t="n">
        <v>0.4445023148148148</v>
      </c>
      <c r="C32" s="43" t="inlineStr">
        <is>
          <t>Türkiye Finans</t>
        </is>
      </c>
      <c r="D32" s="8" t="n">
        <v>47.845</v>
      </c>
      <c r="E32" s="8" t="n">
        <v>48.9229</v>
      </c>
      <c r="F32" s="8" t="n">
        <v>1.0779</v>
      </c>
      <c r="G32" s="9" t="n">
        <v>0.02252899989549587</v>
      </c>
      <c r="H32" s="10" t="n">
        <v>55.5183</v>
      </c>
      <c r="I32" s="10" t="n">
        <v>56.7011</v>
      </c>
      <c r="J32" s="10" t="n">
        <v>1.1828</v>
      </c>
      <c r="K32" s="11" t="n">
        <v>0.0213046869230506</v>
      </c>
      <c r="L32" s="12" t="n">
        <v>6644.95</v>
      </c>
      <c r="M32" s="12" t="n">
        <v>6882.71</v>
      </c>
      <c r="N32" s="12" t="n">
        <v>237.76</v>
      </c>
      <c r="O32" s="13" t="n">
        <v>0.03578055515842858</v>
      </c>
    </row>
    <row r="33">
      <c r="A33" s="5" t="n">
        <v>46277</v>
      </c>
      <c r="B33" s="6" t="n">
        <v>0.4445023148148148</v>
      </c>
      <c r="C33" s="44" t="inlineStr">
        <is>
          <t>Vakıf Katılım</t>
        </is>
      </c>
      <c r="D33" s="8" t="n">
        <v>48.0785</v>
      </c>
      <c r="E33" s="8" t="n">
        <v>48.6896</v>
      </c>
      <c r="F33" s="8" t="n">
        <v>0.6111</v>
      </c>
      <c r="G33" s="9" t="n">
        <v>0.01271046309681042</v>
      </c>
      <c r="H33" s="10" t="n">
        <v>55.7364</v>
      </c>
      <c r="I33" s="10" t="n">
        <v>56.4133</v>
      </c>
      <c r="J33" s="10" t="n">
        <v>0.6768999999999999</v>
      </c>
      <c r="K33" s="11" t="n">
        <v>0.01214466668101994</v>
      </c>
      <c r="L33" s="12" t="n">
        <v>6650.16</v>
      </c>
      <c r="M33" s="12" t="n">
        <v>6811.7</v>
      </c>
      <c r="N33" s="12" t="n">
        <v>161.54</v>
      </c>
      <c r="O33" s="13" t="n">
        <v>0.02429114487470978</v>
      </c>
    </row>
    <row r="34">
      <c r="A34" s="5" t="n">
        <v>46277</v>
      </c>
      <c r="B34" s="6" t="n">
        <v>0.4445023148148148</v>
      </c>
      <c r="C34" s="45" t="inlineStr">
        <is>
          <t>Vakıfbank</t>
        </is>
      </c>
      <c r="D34" s="8" t="n">
        <v>47.2292</v>
      </c>
      <c r="E34" s="8" t="n">
        <v>50.0142</v>
      </c>
      <c r="F34" s="8" t="n">
        <v>2.785</v>
      </c>
      <c r="G34" s="9" t="n">
        <v>0.05896775723493093</v>
      </c>
      <c r="H34" s="10" t="n">
        <v>54.8172</v>
      </c>
      <c r="I34" s="10" t="n">
        <v>57.9752</v>
      </c>
      <c r="J34" s="10" t="n">
        <v>3.158</v>
      </c>
      <c r="K34" s="11" t="n">
        <v>0.05760965536364499</v>
      </c>
      <c r="L34" s="12" t="n">
        <v>6486.59</v>
      </c>
      <c r="M34" s="12" t="n">
        <v>7384.59</v>
      </c>
      <c r="N34" s="12" t="n">
        <v>898</v>
      </c>
      <c r="O34" s="13" t="n">
        <v>0.1384394574036589</v>
      </c>
    </row>
    <row r="35">
      <c r="A35" s="5" t="n">
        <v>46277</v>
      </c>
      <c r="B35" s="6" t="n">
        <v>0.4445023148148148</v>
      </c>
      <c r="C35" s="46" t="inlineStr">
        <is>
          <t>Venüs</t>
        </is>
      </c>
      <c r="D35" s="8" t="n">
        <v>48.34</v>
      </c>
      <c r="E35" s="8" t="n">
        <v>48.489</v>
      </c>
      <c r="F35" s="8" t="n">
        <v>0.149</v>
      </c>
      <c r="G35" s="9" t="n">
        <v>0.003082333471245345</v>
      </c>
      <c r="H35" s="10" t="n">
        <v>55.911</v>
      </c>
      <c r="I35" s="10" t="n">
        <v>56.17</v>
      </c>
      <c r="J35" s="10" t="n">
        <v>0.259</v>
      </c>
      <c r="K35" s="11" t="n">
        <v>0.004632362146983599</v>
      </c>
      <c r="L35" s="12" t="n"/>
      <c r="M35" s="12" t="n"/>
      <c r="N35" s="12" t="n"/>
      <c r="O35" s="13" t="n"/>
    </row>
    <row r="36">
      <c r="A36" s="5" t="n">
        <v>46277</v>
      </c>
      <c r="B36" s="6" t="n">
        <v>0.4445023148148148</v>
      </c>
      <c r="C36" s="47" t="inlineStr">
        <is>
          <t>Yapıkredi</t>
        </is>
      </c>
      <c r="D36" s="8" t="n">
        <v>47</v>
      </c>
      <c r="E36" s="8" t="n">
        <v>49.73</v>
      </c>
      <c r="F36" s="8" t="n">
        <v>2.73</v>
      </c>
      <c r="G36" s="9" t="n">
        <v>0.05808510638297872</v>
      </c>
      <c r="H36" s="10" t="n">
        <v>54.66</v>
      </c>
      <c r="I36" s="10" t="n">
        <v>57.52</v>
      </c>
      <c r="J36" s="10" t="n">
        <v>2.86</v>
      </c>
      <c r="K36" s="11" t="n">
        <v>0.05232345407976582</v>
      </c>
      <c r="L36" s="12" t="n">
        <v>6530.96</v>
      </c>
      <c r="M36" s="12" t="n">
        <v>7067.3</v>
      </c>
      <c r="N36" s="12" t="n">
        <v>536.34</v>
      </c>
      <c r="O36" s="13" t="n">
        <v>0.0821226894667859</v>
      </c>
    </row>
    <row r="37">
      <c r="A37" s="5" t="n">
        <v>46277</v>
      </c>
      <c r="B37" s="6" t="n">
        <v>0.4445023148148148</v>
      </c>
      <c r="C37" s="48" t="inlineStr">
        <is>
          <t>Ziraat Bankası</t>
        </is>
      </c>
      <c r="D37" s="8" t="n">
        <v>47.1671</v>
      </c>
      <c r="E37" s="8" t="n">
        <v>50.0386</v>
      </c>
      <c r="F37" s="8" t="n">
        <v>2.8715</v>
      </c>
      <c r="G37" s="9" t="n">
        <v>0.06087929934212619</v>
      </c>
      <c r="H37" s="10" t="n">
        <v>54.7649</v>
      </c>
      <c r="I37" s="10" t="n">
        <v>58.099</v>
      </c>
      <c r="J37" s="10" t="n">
        <v>3.3341</v>
      </c>
      <c r="K37" s="11" t="n">
        <v>0.06088023533321525</v>
      </c>
      <c r="L37" s="12" t="n">
        <v>6566.98</v>
      </c>
      <c r="M37" s="12" t="n">
        <v>7517.14</v>
      </c>
      <c r="N37" s="12" t="n">
        <v>950.16</v>
      </c>
      <c r="O37" s="13" t="n">
        <v>0.1446875123725061</v>
      </c>
    </row>
    <row r="38">
      <c r="A38" s="5" t="n">
        <v>46277</v>
      </c>
      <c r="B38" s="6" t="n">
        <v>0.4445023148148148</v>
      </c>
      <c r="C38" s="49" t="inlineStr">
        <is>
          <t>Ziraat Dinamik</t>
        </is>
      </c>
      <c r="D38" s="8" t="n">
        <v>47.2143</v>
      </c>
      <c r="E38" s="8" t="n">
        <v>49.7634</v>
      </c>
      <c r="F38" s="8" t="n">
        <v>2.5491</v>
      </c>
      <c r="G38" s="9" t="n">
        <v>0.05398999879273864</v>
      </c>
      <c r="H38" s="10" t="n">
        <v>54.7649</v>
      </c>
      <c r="I38" s="10" t="n">
        <v>57.7795</v>
      </c>
      <c r="J38" s="10" t="n">
        <v>3.0146</v>
      </c>
      <c r="K38" s="11" t="n">
        <v>0.05504620660313449</v>
      </c>
      <c r="L38" s="12" t="n">
        <v>6534.14</v>
      </c>
      <c r="M38" s="12" t="n">
        <v>7479.55</v>
      </c>
      <c r="N38" s="12" t="n">
        <v>945.41</v>
      </c>
      <c r="O38" s="13" t="n">
        <v>0.1446877477372692</v>
      </c>
    </row>
    <row r="39">
      <c r="A39" s="5" t="n">
        <v>46277</v>
      </c>
      <c r="B39" s="6" t="n">
        <v>0.4445023148148148</v>
      </c>
      <c r="C39" s="50" t="inlineStr">
        <is>
          <t>Ziraat Katılım</t>
        </is>
      </c>
      <c r="D39" s="8" t="n">
        <v>43.2645</v>
      </c>
      <c r="E39" s="8" t="n">
        <v>53.9828</v>
      </c>
      <c r="F39" s="8" t="n">
        <v>10.7183</v>
      </c>
      <c r="G39" s="9" t="n">
        <v>0.2477389083428677</v>
      </c>
      <c r="H39" s="10" t="n">
        <v>50.199</v>
      </c>
      <c r="I39" s="10" t="n">
        <v>62.6971</v>
      </c>
      <c r="J39" s="10" t="n">
        <v>12.4981</v>
      </c>
      <c r="K39" s="11" t="n">
        <v>0.2489710950417339</v>
      </c>
      <c r="L39" s="12" t="n">
        <v>6073.97</v>
      </c>
      <c r="M39" s="12" t="n">
        <v>7659.34</v>
      </c>
      <c r="N39" s="12" t="n">
        <v>1585.37</v>
      </c>
      <c r="O39" s="13" t="n">
        <v>0.2610105087776199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</hyperlinks>
  <pageMargins left="0.75" right="0.75" top="1" bottom="1" header="0.5" footer="0.5"/>
  <tableParts count="1">
    <tablePart xmlns:r="http://schemas.openxmlformats.org/officeDocument/2006/relationships" r:id="rId172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0" t="inlineStr">
        <is>
          <t>Döviz ve Altın Kur Takip Özeti</t>
        </is>
      </c>
    </row>
    <row r="3">
      <c r="A3" s="61" t="inlineStr">
        <is>
          <t>SON VERİ ÇEKİMİ</t>
        </is>
      </c>
      <c r="F3" s="61" t="inlineStr">
        <is>
          <t>AYLIK ORTALAMA MAKAS %</t>
        </is>
      </c>
      <c r="L3" s="61" t="inlineStr">
        <is>
          <t>5 BANKADA EN DÜŞÜK GÜNCEL MAKAS</t>
        </is>
      </c>
    </row>
    <row r="4">
      <c r="A4" s="62" t="inlineStr">
        <is>
          <t>Veri tarihi</t>
        </is>
      </c>
      <c r="B4" s="63" t="n"/>
      <c r="C4" s="64" t="n">
        <v>46277</v>
      </c>
      <c r="D4" s="63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2" t="inlineStr">
        <is>
          <t>Çekim saati</t>
        </is>
      </c>
      <c r="B5" s="63" t="n"/>
      <c r="C5" s="65" t="n">
        <v>0.4445023148148148</v>
      </c>
      <c r="D5" s="63" t="n"/>
      <c r="F5" s="63" t="inlineStr">
        <is>
          <t>Ağustos 2026</t>
        </is>
      </c>
      <c r="G5" s="66" t="inlineStr">
        <is>
          <t>Garanti BBVA</t>
        </is>
      </c>
      <c r="H5" s="67" t="n">
        <v>0.03553378696044311</v>
      </c>
      <c r="I5" s="68" t="n">
        <v>0.03553642841103422</v>
      </c>
      <c r="J5" s="69" t="n">
        <v>0.05383117747984287</v>
      </c>
      <c r="L5" s="70" t="inlineStr">
        <is>
          <t>DOLAR</t>
        </is>
      </c>
      <c r="M5" s="63" t="n">
        <v>5</v>
      </c>
      <c r="N5" s="71" t="n">
        <v>0.04221992358193831</v>
      </c>
      <c r="O5" s="66" t="inlineStr">
        <is>
          <t>Garanti BBVA</t>
        </is>
      </c>
      <c r="P5" s="72" t="n">
        <v>47.371</v>
      </c>
      <c r="Q5" s="72" t="n">
        <v>49.371</v>
      </c>
    </row>
    <row r="6">
      <c r="A6" s="62" t="inlineStr">
        <is>
          <t>Sağlayıcı sayısı</t>
        </is>
      </c>
      <c r="B6" s="63" t="n"/>
      <c r="C6" s="73" t="n">
        <v>38</v>
      </c>
      <c r="D6" s="63" t="n"/>
      <c r="F6" s="63" t="inlineStr">
        <is>
          <t>Ağustos 2026</t>
        </is>
      </c>
      <c r="G6" s="74" t="inlineStr">
        <is>
          <t>Akbank</t>
        </is>
      </c>
      <c r="H6" s="67" t="n">
        <v>0.04311562150687483</v>
      </c>
      <c r="I6" s="68" t="n">
        <v>0.0432699268677014</v>
      </c>
      <c r="J6" s="69" t="n">
        <v>0.06066925394146307</v>
      </c>
      <c r="L6" s="75" t="inlineStr">
        <is>
          <t>EURO</t>
        </is>
      </c>
      <c r="M6" s="63" t="n">
        <v>5</v>
      </c>
      <c r="N6" s="71" t="n">
        <v>0.04223326597855569</v>
      </c>
      <c r="O6" s="66" t="inlineStr">
        <is>
          <t>Garanti BBVA</t>
        </is>
      </c>
      <c r="P6" s="72" t="n">
        <v>54.933</v>
      </c>
      <c r="Q6" s="72" t="n">
        <v>57.253</v>
      </c>
    </row>
    <row r="7">
      <c r="A7" s="62" t="inlineStr">
        <is>
          <t>Ürün kaydı</t>
        </is>
      </c>
      <c r="B7" s="63" t="n"/>
      <c r="C7" s="73" t="n">
        <v>108</v>
      </c>
      <c r="D7" s="63" t="n"/>
      <c r="F7" s="63" t="inlineStr">
        <is>
          <t>Ağustos 2026</t>
        </is>
      </c>
      <c r="G7" s="76" t="inlineStr">
        <is>
          <t>Yapıkredi</t>
        </is>
      </c>
      <c r="H7" s="67" t="n">
        <v>0.03847709584999994</v>
      </c>
      <c r="I7" s="68" t="n">
        <v>0.03535742466332828</v>
      </c>
      <c r="J7" s="69" t="n">
        <v>0.0540849048600331</v>
      </c>
      <c r="L7" s="77" t="inlineStr">
        <is>
          <t>GRAM ALTIN</t>
        </is>
      </c>
      <c r="M7" s="63" t="n">
        <v>5</v>
      </c>
      <c r="N7" s="71" t="n">
        <v>0.0706361828723852</v>
      </c>
      <c r="O7" s="66" t="inlineStr">
        <is>
          <t>Garanti BBVA</t>
        </is>
      </c>
      <c r="P7" s="72" t="n">
        <v>6583.17</v>
      </c>
      <c r="Q7" s="72" t="n">
        <v>7048.18</v>
      </c>
    </row>
    <row r="8">
      <c r="A8" s="62" t="inlineStr">
        <is>
          <t>Hatalı kayıt</t>
        </is>
      </c>
      <c r="B8" s="63" t="n"/>
      <c r="C8" s="73" t="n">
        <v>2</v>
      </c>
      <c r="D8" s="63" t="n"/>
      <c r="F8" s="63" t="inlineStr">
        <is>
          <t>Ağustos 2026</t>
        </is>
      </c>
      <c r="G8" s="78" t="inlineStr">
        <is>
          <t>Ziraat Bankası</t>
        </is>
      </c>
      <c r="H8" s="67" t="n">
        <v>0.04104187506584386</v>
      </c>
      <c r="I8" s="68" t="n">
        <v>0.0514487601107881</v>
      </c>
      <c r="J8" s="69" t="n">
        <v>0.08301204597474589</v>
      </c>
    </row>
    <row r="9">
      <c r="A9" s="62" t="inlineStr">
        <is>
          <t>Kontrol gereken</t>
        </is>
      </c>
      <c r="B9" s="63" t="n"/>
      <c r="C9" s="73" t="n">
        <v>0</v>
      </c>
      <c r="D9" s="63" t="n"/>
      <c r="F9" s="63" t="inlineStr">
        <is>
          <t>Ağustos 2026</t>
        </is>
      </c>
      <c r="G9" s="79" t="inlineStr">
        <is>
          <t>İş Bankası</t>
        </is>
      </c>
      <c r="H9" s="67" t="n">
        <v>0.04760750668842017</v>
      </c>
      <c r="I9" s="68" t="n">
        <v>0.04783493387226885</v>
      </c>
      <c r="J9" s="69" t="n">
        <v>0.1017248276143379</v>
      </c>
    </row>
    <row r="10">
      <c r="F10" s="63" t="inlineStr">
        <is>
          <t>Eylül 2026</t>
        </is>
      </c>
      <c r="G10" s="66" t="inlineStr">
        <is>
          <t>Garanti BBVA</t>
        </is>
      </c>
      <c r="H10" s="67" t="n">
        <v>0.03187248088508202</v>
      </c>
      <c r="I10" s="68" t="n">
        <v>0.03187324098342881</v>
      </c>
      <c r="J10" s="69" t="n">
        <v>0.04536077160931837</v>
      </c>
    </row>
    <row r="11">
      <c r="F11" s="63" t="inlineStr">
        <is>
          <t>Eylül 2026</t>
        </is>
      </c>
      <c r="G11" s="74" t="inlineStr">
        <is>
          <t>Akbank</t>
        </is>
      </c>
      <c r="H11" s="67" t="n">
        <v>0.03563707338948224</v>
      </c>
      <c r="I11" s="68" t="n">
        <v>0.03575042308916133</v>
      </c>
      <c r="J11" s="69" t="n">
        <v>0.04826331844905296</v>
      </c>
    </row>
    <row r="12">
      <c r="F12" s="63" t="inlineStr">
        <is>
          <t>Eylül 2026</t>
        </is>
      </c>
      <c r="G12" s="76" t="inlineStr">
        <is>
          <t>Yapıkredi</t>
        </is>
      </c>
      <c r="H12" s="67" t="n">
        <v>0.02848711215302166</v>
      </c>
      <c r="I12" s="68" t="n">
        <v>0.02667204844290965</v>
      </c>
      <c r="J12" s="69" t="n">
        <v>0.04126256080439563</v>
      </c>
    </row>
    <row r="13">
      <c r="F13" s="63" t="inlineStr">
        <is>
          <t>Eylül 2026</t>
        </is>
      </c>
      <c r="G13" s="78" t="inlineStr">
        <is>
          <t>Ziraat Bankası</t>
        </is>
      </c>
      <c r="H13" s="67" t="n">
        <v>0.03039219108113523</v>
      </c>
      <c r="I13" s="68" t="n">
        <v>0.03039204151664567</v>
      </c>
      <c r="J13" s="69" t="n">
        <v>0.0513158469012546</v>
      </c>
    </row>
    <row r="14">
      <c r="F14" s="63" t="inlineStr">
        <is>
          <t>Eylül 2026</t>
        </is>
      </c>
      <c r="G14" s="79" t="inlineStr">
        <is>
          <t>İş Bankası</t>
        </is>
      </c>
      <c r="H14" s="67" t="n">
        <v>0.03204142578053147</v>
      </c>
      <c r="I14" s="68" t="n">
        <v>0.03215915946511781</v>
      </c>
      <c r="J14" s="69" t="n">
        <v>0.05276387289165788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0.03187248088508202</v>
      </c>
      <c r="V3" s="55" t="n">
        <v>0.03563707338948224</v>
      </c>
      <c r="W3" s="55" t="n">
        <v>0.02848711215302166</v>
      </c>
      <c r="X3" s="55" t="n">
        <v>0.03039219108113523</v>
      </c>
      <c r="Y3" s="55" t="n">
        <v>0.03204142578053147</v>
      </c>
      <c r="Z3" s="55" t="n">
        <v>0.03187324098342881</v>
      </c>
      <c r="AA3" s="55" t="n">
        <v>0.03575042308916133</v>
      </c>
      <c r="AB3" s="55" t="n">
        <v>0.02667204844290965</v>
      </c>
      <c r="AC3" s="55" t="n">
        <v>0.03039204151664567</v>
      </c>
      <c r="AD3" s="55" t="n">
        <v>0.03215915946511781</v>
      </c>
      <c r="AE3" s="55" t="n">
        <v>0.04536077160931837</v>
      </c>
      <c r="AF3" s="55" t="n">
        <v>0.04826331844905296</v>
      </c>
      <c r="AG3" s="55" t="n">
        <v>0.04126256080439563</v>
      </c>
      <c r="AH3" s="55" t="n">
        <v>0.0513158469012546</v>
      </c>
      <c r="AI3" s="55" t="n">
        <v>0.05276387289165788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2026-09-12T07:40:46Z</dcterms:created>
  <dcterms:modified xsi:type="dcterms:W3CDTF">2026-09-12T07:40:46Z</dcterms:modified>
</cp:coreProperties>
</file>