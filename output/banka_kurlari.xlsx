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'GRAFIK_VERILERI'!$B$2:$B$8</f>
              <numCache>
                <formatCode>0.00%</formatCode>
                <ptCount val="7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'GRAFIK_VERILERI'!$C$2:$C$8</f>
              <numCache>
                <formatCode>0.00%</formatCode>
                <ptCount val="7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'GRAFIK_VERILERI'!$D$2:$D$8</f>
              <numCache>
                <formatCode>0.00%</formatCode>
                <ptCount val="7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'GRAFIK_VERILERI'!$E$2:$E$8</f>
              <numCache>
                <formatCode>0.00%</formatCode>
                <ptCount val="7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'GRAFIK_VERILERI'!$F$2:$F$8</f>
              <numCache>
                <formatCode>0.00%</formatCode>
                <ptCount val="7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0375094990089"/>
          <min val="0.0124108340446191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'GRAFIK_VERILERI'!$G$2:$G$8</f>
              <numCache>
                <formatCode>0.00%</formatCode>
                <ptCount val="7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'GRAFIK_VERILERI'!$H$2:$H$8</f>
              <numCache>
                <formatCode>0.00%</formatCode>
                <ptCount val="7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'GRAFIK_VERILERI'!$I$2:$I$8</f>
              <numCache>
                <formatCode>0.00%</formatCode>
                <ptCount val="7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'GRAFIK_VERILERI'!$J$2:$J$8</f>
              <numCache>
                <formatCode>0.00%</formatCode>
                <ptCount val="7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'GRAFIK_VERILERI'!$K$2:$K$8</f>
              <numCache>
                <formatCode>0.00%</formatCode>
                <ptCount val="7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6952637804505"/>
          <min val="0.0119103332017578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'GRAFIK_VERILERI'!$L$2:$L$8</f>
              <numCache>
                <formatCode>0.00%</formatCode>
                <ptCount val="7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'GRAFIK_VERILERI'!$M$2:$M$8</f>
              <numCache>
                <formatCode>0.00%</formatCode>
                <ptCount val="7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'GRAFIK_VERILERI'!$N$2:$N$8</f>
              <numCache>
                <formatCode>0.00%</formatCode>
                <ptCount val="7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'GRAFIK_VERILERI'!$O$2:$O$8</f>
              <numCache>
                <formatCode>0.00%</formatCode>
                <ptCount val="7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'GRAFIK_VERILERI'!$P$2:$P$8</f>
              <numCache>
                <formatCode>0.00%</formatCode>
                <ptCount val="7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1581080107"/>
          <min val="0.00134486341261843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0.02844860558628776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0.02842065661994164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0.02035049948431565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0.02023037507033105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0.0242208653485421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171407643113354"/>
          <min val="0.01612380532761768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0.02845282527677321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0.02845076126263018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0.01978649362414892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0.02023067952234644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0.02439335957551413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9810008378397"/>
          <min val="0.0150371536511530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0.03694211641961482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0.03613507814746245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0.02970877663752912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0.02019167096222166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0.02742606341656465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39548011121554"/>
          <min val="0.00796169746440421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'GRAFIK_VERILERI'!$B$2:$B$8</f>
              <numCache>
                <formatCode>0.00%</formatCode>
                <ptCount val="7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10606190364"/>
          <min val="0.0256172752018491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'GRAFIK_VERILERI'!$G$2:$G$8</f>
              <numCache>
                <formatCode>0.00%</formatCode>
                <ptCount val="7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777025595159"/>
          <min val="0.0256164702251061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'GRAFIK_VERILERI'!$L$2:$L$8</f>
              <numCache>
                <formatCode>0.00%</formatCode>
                <ptCount val="7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451621853293"/>
          <min val="0.0301874978008309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'GRAFIK_VERILERI'!$C$2:$C$8</f>
              <numCache>
                <formatCode>0.00%</formatCode>
                <ptCount val="7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1249944535419"/>
          <min val="0.0225425536411969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'GRAFIK_VERILERI'!$H$2:$H$8</f>
              <numCache>
                <formatCode>0.00%</formatCode>
                <ptCount val="7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4172046593731"/>
          <min val="0.022487948043249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'GRAFIK_VERILERI'!$M$2:$M$8</f>
              <numCache>
                <formatCode>0.00%</formatCode>
                <ptCount val="7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3341199430352"/>
          <min val="0.0263165674569429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'GRAFIK_VERILERI'!$D$2:$D$8</f>
              <numCache>
                <formatCode>0.00%</formatCode>
                <ptCount val="7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42184148574888"/>
          <min val="0.0114330459775777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'GRAFIK_VERILERI'!$I$2:$I$8</f>
              <numCache>
                <formatCode>0.00%</formatCode>
                <ptCount val="7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53561713702823"/>
          <min val="0.0120730618837130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'GRAFIK_VERILERI'!$N$2:$N$8</f>
              <numCache>
                <formatCode>0.00%</formatCode>
                <ptCount val="7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4901149726027"/>
          <min val="0.0180412292880989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'GRAFIK_VERILERI'!$E$2:$E$8</f>
              <numCache>
                <formatCode>0.00%</formatCode>
                <ptCount val="7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'GRAFIK_VERILERI'!$J$2:$J$8</f>
              <numCache>
                <formatCode>0.00%</formatCode>
                <ptCount val="7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9927062174"/>
          <min val="0.01190503299558375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'GRAFIK_VERILERI'!$O$2:$O$8</f>
              <numCache>
                <formatCode>0.00%</formatCode>
                <ptCount val="7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463655258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'GRAFIK_VERILERI'!$F$2:$F$8</f>
              <numCache>
                <formatCode>0.00%</formatCode>
                <ptCount val="7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65859703981922"/>
          <min val="0.01797489899804002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'GRAFIK_VERILERI'!$K$2:$K$8</f>
              <numCache>
                <formatCode>0.00%</formatCode>
                <ptCount val="7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5841468713"/>
          <min val="0.0179124125370718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'GRAFIK_VERILERI'!$A$2:$A$8</f>
              <strCache>
                <ptCount val="7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</strCache>
            </strRef>
          </cat>
          <val>
            <numRef>
              <f>'GRAFIK_VERILERI'!$P$2:$P$8</f>
              <numCache>
                <formatCode>0.00%</formatCode>
                <ptCount val="7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36542993439"/>
          <min val="0.0076106387938960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757" headerRowCount="1">
  <autoFilter ref="A1:N757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table" Target="/xl/tables/table2.xml" Id="rId75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46268</v>
      </c>
      <c r="B2" s="6" t="n">
        <v>0.5790393518518518</v>
      </c>
      <c r="C2" s="7" t="inlineStr">
        <is>
          <t>Akbank</t>
        </is>
      </c>
      <c r="D2" s="8" t="n">
        <v>47.519</v>
      </c>
      <c r="E2" s="8" t="n">
        <v>48.869</v>
      </c>
      <c r="F2" s="8" t="n">
        <v>1.35</v>
      </c>
      <c r="G2" s="9" t="n">
        <v>0.02840968875607652</v>
      </c>
      <c r="H2" s="10" t="n">
        <v>55.1216</v>
      </c>
      <c r="I2" s="10" t="n">
        <v>56.6876</v>
      </c>
      <c r="J2" s="10" t="n">
        <v>1.566</v>
      </c>
      <c r="K2" s="11" t="n">
        <v>0.02840991553220516</v>
      </c>
      <c r="L2" s="12" t="n">
        <v>6691.22</v>
      </c>
      <c r="M2" s="12" t="n">
        <v>6932.9</v>
      </c>
      <c r="N2" s="12" t="n">
        <v>241.68</v>
      </c>
      <c r="O2" s="13" t="n">
        <v>0.03611897381942306</v>
      </c>
    </row>
    <row r="3">
      <c r="A3" s="5" t="n">
        <v>46268</v>
      </c>
      <c r="B3" s="6" t="n">
        <v>0.5790393518518518</v>
      </c>
      <c r="C3" s="14" t="inlineStr">
        <is>
          <t>Albaraka Türk</t>
        </is>
      </c>
      <c r="D3" s="8" t="n">
        <v>47.914</v>
      </c>
      <c r="E3" s="8" t="n">
        <v>48.695</v>
      </c>
      <c r="F3" s="8" t="n">
        <v>0.781</v>
      </c>
      <c r="G3" s="9" t="n">
        <v>0.01630003756730809</v>
      </c>
      <c r="H3" s="10" t="n">
        <v>55.58</v>
      </c>
      <c r="I3" s="10" t="n">
        <v>56.496</v>
      </c>
      <c r="J3" s="10" t="n">
        <v>0.916</v>
      </c>
      <c r="K3" s="11" t="n">
        <v>0.0164807484706729</v>
      </c>
      <c r="L3" s="12" t="n">
        <v>6772.16</v>
      </c>
      <c r="M3" s="12" t="n">
        <v>6911.34</v>
      </c>
      <c r="N3" s="12" t="n">
        <v>139.18</v>
      </c>
      <c r="O3" s="13" t="n">
        <v>0.02055178849879507</v>
      </c>
    </row>
    <row r="4">
      <c r="A4" s="5" t="n">
        <v>46268</v>
      </c>
      <c r="B4" s="6" t="n">
        <v>0.5790393518518518</v>
      </c>
      <c r="C4" s="15" t="inlineStr">
        <is>
          <t>Alternatif Bank</t>
        </is>
      </c>
      <c r="D4" s="8" t="n">
        <v>48.101</v>
      </c>
      <c r="E4" s="8" t="n">
        <v>48.389</v>
      </c>
      <c r="F4" s="8" t="n">
        <v>0.288</v>
      </c>
      <c r="G4" s="9" t="n">
        <v>0.00598740150932413</v>
      </c>
      <c r="H4" s="10" t="n">
        <v>55.634</v>
      </c>
      <c r="I4" s="10" t="n">
        <v>56.142</v>
      </c>
      <c r="J4" s="10" t="n">
        <v>0.508</v>
      </c>
      <c r="K4" s="11" t="n">
        <v>0.00913110687708955</v>
      </c>
      <c r="L4" s="12" t="n">
        <v>6831.41</v>
      </c>
      <c r="M4" s="12" t="n">
        <v>6899.34</v>
      </c>
      <c r="N4" s="12" t="n">
        <v>67.93000000000001</v>
      </c>
      <c r="O4" s="13" t="n">
        <v>0.009943774418458269</v>
      </c>
    </row>
    <row r="5">
      <c r="A5" s="5" t="n">
        <v>46268</v>
      </c>
      <c r="B5" s="6" t="n">
        <v>0.5790393518518518</v>
      </c>
      <c r="C5" s="16" t="inlineStr">
        <is>
          <t>Altınkaynak</t>
        </is>
      </c>
      <c r="D5" s="8" t="n">
        <v>48.26</v>
      </c>
      <c r="E5" s="8" t="n">
        <v>48.45</v>
      </c>
      <c r="F5" s="8" t="n">
        <v>0.19</v>
      </c>
      <c r="G5" s="9" t="n">
        <v>0.003937007874015748</v>
      </c>
      <c r="H5" s="10" t="n">
        <v>55.865</v>
      </c>
      <c r="I5" s="10" t="n">
        <v>56.209</v>
      </c>
      <c r="J5" s="10" t="n">
        <v>0.344</v>
      </c>
      <c r="K5" s="11" t="n">
        <v>0.006157701602076435</v>
      </c>
      <c r="L5" s="12" t="n">
        <v>6773.24</v>
      </c>
      <c r="M5" s="12" t="n">
        <v>6935</v>
      </c>
      <c r="N5" s="12" t="n">
        <v>161.76</v>
      </c>
      <c r="O5" s="13" t="n">
        <v>0.02388221884947233</v>
      </c>
    </row>
    <row r="6">
      <c r="A6" s="5" t="n">
        <v>46268</v>
      </c>
      <c r="B6" s="6" t="n">
        <v>0.5790393518518518</v>
      </c>
      <c r="C6" s="17" t="inlineStr">
        <is>
          <t>Anadolubank</t>
        </is>
      </c>
      <c r="D6" s="8" t="n">
        <v>47.4706</v>
      </c>
      <c r="E6" s="8" t="n">
        <v>48.747</v>
      </c>
      <c r="F6" s="8" t="n">
        <v>1.2764</v>
      </c>
      <c r="G6" s="9" t="n">
        <v>0.02688822134120909</v>
      </c>
      <c r="H6" s="10" t="n">
        <v>55.1632</v>
      </c>
      <c r="I6" s="10" t="n">
        <v>56.5354</v>
      </c>
      <c r="J6" s="10" t="n">
        <v>1.3722</v>
      </c>
      <c r="K6" s="11" t="n">
        <v>0.02487527917162166</v>
      </c>
      <c r="L6" s="12" t="n">
        <v>6755.31</v>
      </c>
      <c r="M6" s="12" t="n">
        <v>6913.93</v>
      </c>
      <c r="N6" s="12" t="n">
        <v>158.62</v>
      </c>
      <c r="O6" s="13" t="n">
        <v>0.02348078770626367</v>
      </c>
    </row>
    <row r="7">
      <c r="A7" s="5" t="n">
        <v>46268</v>
      </c>
      <c r="B7" s="6" t="n">
        <v>0.5790393518518518</v>
      </c>
      <c r="C7" s="18" t="inlineStr">
        <is>
          <t>CEPTETEB</t>
        </is>
      </c>
      <c r="D7" s="8" t="n">
        <v>47.32</v>
      </c>
      <c r="E7" s="8" t="n">
        <v>49.243</v>
      </c>
      <c r="F7" s="8" t="n">
        <v>1.923</v>
      </c>
      <c r="G7" s="9" t="n">
        <v>0.04063820794590026</v>
      </c>
      <c r="H7" s="10" t="n">
        <v>54.896</v>
      </c>
      <c r="I7" s="10" t="n">
        <v>57.131</v>
      </c>
      <c r="J7" s="10" t="n">
        <v>2.235</v>
      </c>
      <c r="K7" s="11" t="n">
        <v>0.04071334887787817</v>
      </c>
      <c r="L7" s="12" t="n">
        <v>6756.65</v>
      </c>
      <c r="M7" s="12" t="n">
        <v>6950.96</v>
      </c>
      <c r="N7" s="12" t="n">
        <v>194.31</v>
      </c>
      <c r="O7" s="13" t="n">
        <v>0.02875833438168323</v>
      </c>
    </row>
    <row r="8">
      <c r="A8" s="5" t="n">
        <v>46268</v>
      </c>
      <c r="B8" s="6" t="n">
        <v>0.5790393518518518</v>
      </c>
      <c r="C8" s="19" t="inlineStr">
        <is>
          <t>Denizbank</t>
        </is>
      </c>
      <c r="D8" s="8" t="n">
        <v>47.5724</v>
      </c>
      <c r="E8" s="8" t="n">
        <v>48.9725</v>
      </c>
      <c r="F8" s="8" t="n">
        <v>1.4001</v>
      </c>
      <c r="G8" s="9" t="n">
        <v>0.02943093053955655</v>
      </c>
      <c r="H8" s="10" t="n">
        <v>55.1922</v>
      </c>
      <c r="I8" s="10" t="n">
        <v>56.8215</v>
      </c>
      <c r="J8" s="10" t="n">
        <v>1.6293</v>
      </c>
      <c r="K8" s="11" t="n">
        <v>0.02952047571939513</v>
      </c>
      <c r="L8" s="12" t="n">
        <v>6771.17</v>
      </c>
      <c r="M8" s="12" t="n">
        <v>6971.44</v>
      </c>
      <c r="N8" s="12" t="n">
        <v>200.27</v>
      </c>
      <c r="O8" s="13" t="n">
        <v>0.02957686780866527</v>
      </c>
    </row>
    <row r="9">
      <c r="A9" s="5" t="n">
        <v>46268</v>
      </c>
      <c r="B9" s="6" t="n">
        <v>0.5790393518518518</v>
      </c>
      <c r="C9" s="20" t="inlineStr">
        <is>
          <t>DestekBank</t>
        </is>
      </c>
      <c r="D9" s="8" t="n">
        <v>48.2418</v>
      </c>
      <c r="E9" s="8" t="n">
        <v>48.2988</v>
      </c>
      <c r="F9" s="8" t="n">
        <v>0.057</v>
      </c>
      <c r="G9" s="9" t="n">
        <v>0.001181547952190839</v>
      </c>
      <c r="H9" s="10" t="n">
        <v>55.9447</v>
      </c>
      <c r="I9" s="10" t="n">
        <v>56.0327</v>
      </c>
      <c r="J9" s="10" t="n">
        <v>0.08799999999999999</v>
      </c>
      <c r="K9" s="11" t="n">
        <v>0.001572981891045979</v>
      </c>
      <c r="L9" s="12" t="n">
        <v>6822.67</v>
      </c>
      <c r="M9" s="12" t="n">
        <v>6851.87</v>
      </c>
      <c r="N9" s="12" t="n">
        <v>29.2</v>
      </c>
      <c r="O9" s="13" t="n">
        <v>0.00427984938447851</v>
      </c>
    </row>
    <row r="10">
      <c r="A10" s="5" t="n">
        <v>46268</v>
      </c>
      <c r="B10" s="6" t="n">
        <v>0.5790393518518518</v>
      </c>
      <c r="C10" s="21" t="inlineStr">
        <is>
          <t>Dünya Katılım</t>
        </is>
      </c>
      <c r="D10" s="8" t="n">
        <v>48.2554</v>
      </c>
      <c r="E10" s="8" t="n">
        <v>48.2942</v>
      </c>
      <c r="F10" s="8" t="n">
        <v>0.0388</v>
      </c>
      <c r="G10" s="9" t="n">
        <v>0.0008040550902075208</v>
      </c>
      <c r="H10" s="10" t="n">
        <v>55.9297</v>
      </c>
      <c r="I10" s="10" t="n">
        <v>56.0396</v>
      </c>
      <c r="J10" s="10" t="n">
        <v>0.1099</v>
      </c>
      <c r="K10" s="11" t="n">
        <v>0.001964966735026292</v>
      </c>
      <c r="L10" s="12" t="n">
        <v>6819.54</v>
      </c>
      <c r="M10" s="12" t="n">
        <v>6852.53</v>
      </c>
      <c r="N10" s="12" t="n">
        <v>32.99</v>
      </c>
      <c r="O10" s="13" t="n">
        <v>0.004837569689451195</v>
      </c>
    </row>
    <row r="11">
      <c r="A11" s="5" t="n">
        <v>46268</v>
      </c>
      <c r="B11" s="6" t="n">
        <v>0.5790393518518518</v>
      </c>
      <c r="C11" s="22" t="inlineStr">
        <is>
          <t>Emlak Katılım</t>
        </is>
      </c>
      <c r="D11" s="8" t="n">
        <v>47.941</v>
      </c>
      <c r="E11" s="8" t="n">
        <v>49.1797</v>
      </c>
      <c r="F11" s="8" t="n">
        <v>1.2387</v>
      </c>
      <c r="G11" s="9" t="n">
        <v>0.02583800921966584</v>
      </c>
      <c r="H11" s="10" t="n">
        <v>55.4817</v>
      </c>
      <c r="I11" s="10" t="n">
        <v>56.772</v>
      </c>
      <c r="J11" s="10" t="n">
        <v>1.2903</v>
      </c>
      <c r="K11" s="11" t="n">
        <v>0.02325631694775034</v>
      </c>
      <c r="L11" s="12" t="n">
        <v>6771.98</v>
      </c>
      <c r="M11" s="12" t="n">
        <v>6882.41</v>
      </c>
      <c r="N11" s="12" t="n">
        <v>110.43</v>
      </c>
      <c r="O11" s="13" t="n">
        <v>0.01630689990224425</v>
      </c>
    </row>
    <row r="12">
      <c r="A12" s="5" t="n">
        <v>46268</v>
      </c>
      <c r="B12" s="6" t="n">
        <v>0.5790393518518518</v>
      </c>
      <c r="C12" s="23" t="inlineStr">
        <is>
          <t>Enpara</t>
        </is>
      </c>
      <c r="D12" s="8" t="n">
        <v>47.8645</v>
      </c>
      <c r="E12" s="8" t="n">
        <v>48.7145</v>
      </c>
      <c r="F12" s="8" t="n">
        <v>0.85</v>
      </c>
      <c r="G12" s="9" t="n">
        <v>0.01775846399732578</v>
      </c>
      <c r="H12" s="10" t="n">
        <v>55.4443</v>
      </c>
      <c r="I12" s="10" t="n">
        <v>56.6033</v>
      </c>
      <c r="J12" s="10" t="n">
        <v>1.159</v>
      </c>
      <c r="K12" s="11" t="n">
        <v>0.02090386207418977</v>
      </c>
      <c r="L12" s="12" t="n">
        <v>6768.67</v>
      </c>
      <c r="M12" s="12" t="n">
        <v>6926.84</v>
      </c>
      <c r="N12" s="12" t="n">
        <v>158.17</v>
      </c>
      <c r="O12" s="13" t="n">
        <v>0.02336795855020262</v>
      </c>
    </row>
    <row r="13">
      <c r="A13" s="5" t="n">
        <v>46268</v>
      </c>
      <c r="B13" s="6" t="n">
        <v>0.5790393518518518</v>
      </c>
      <c r="C13" s="24" t="inlineStr">
        <is>
          <t>Fibabanka</t>
        </is>
      </c>
      <c r="D13" s="8" t="n">
        <v>48.0158</v>
      </c>
      <c r="E13" s="8" t="n">
        <v>48.6228</v>
      </c>
      <c r="F13" s="8" t="n">
        <v>0.607</v>
      </c>
      <c r="G13" s="9" t="n">
        <v>0.01264167211626173</v>
      </c>
      <c r="H13" s="10" t="n">
        <v>55.7141</v>
      </c>
      <c r="I13" s="10" t="n">
        <v>56.3773</v>
      </c>
      <c r="J13" s="10" t="n">
        <v>0.6632</v>
      </c>
      <c r="K13" s="11" t="n">
        <v>0.01190362942235449</v>
      </c>
      <c r="L13" s="12" t="n">
        <v>6841.62</v>
      </c>
      <c r="M13" s="12" t="n">
        <v>6896.09</v>
      </c>
      <c r="N13" s="12" t="n">
        <v>54.47</v>
      </c>
      <c r="O13" s="13" t="n">
        <v>0.007961564658662714</v>
      </c>
    </row>
    <row r="14">
      <c r="A14" s="5" t="n">
        <v>46268</v>
      </c>
      <c r="B14" s="6" t="n">
        <v>0.5790393518518518</v>
      </c>
      <c r="C14" s="25" t="inlineStr">
        <is>
          <t>Garanti BBVA</t>
        </is>
      </c>
      <c r="D14" s="8" t="n">
        <v>47.472</v>
      </c>
      <c r="E14" s="8" t="n">
        <v>48.822</v>
      </c>
      <c r="F14" s="8" t="n">
        <v>1.35</v>
      </c>
      <c r="G14" s="9" t="n">
        <v>0.02843781597573306</v>
      </c>
      <c r="H14" s="10" t="n">
        <v>55.067</v>
      </c>
      <c r="I14" s="10" t="n">
        <v>56.633</v>
      </c>
      <c r="J14" s="10" t="n">
        <v>1.566</v>
      </c>
      <c r="K14" s="11" t="n">
        <v>0.02843808451522691</v>
      </c>
      <c r="L14" s="12" t="n">
        <v>6735.53</v>
      </c>
      <c r="M14" s="12" t="n">
        <v>6984.34</v>
      </c>
      <c r="N14" s="12" t="n">
        <v>248.81</v>
      </c>
      <c r="O14" s="13" t="n">
        <v>0.03693992900335979</v>
      </c>
    </row>
    <row r="15">
      <c r="A15" s="5" t="n">
        <v>46268</v>
      </c>
      <c r="B15" s="6" t="n">
        <v>0.5790393518518518</v>
      </c>
      <c r="C15" s="26" t="inlineStr">
        <is>
          <t>Getirfinans</t>
        </is>
      </c>
      <c r="D15" s="8" t="n">
        <v>48.0158</v>
      </c>
      <c r="E15" s="8" t="n">
        <v>48.6228</v>
      </c>
      <c r="F15" s="8" t="n">
        <v>0.607</v>
      </c>
      <c r="G15" s="9" t="n">
        <v>0.01264167211626173</v>
      </c>
      <c r="H15" s="10" t="n">
        <v>55.7155</v>
      </c>
      <c r="I15" s="10" t="n">
        <v>56.379</v>
      </c>
      <c r="J15" s="10" t="n">
        <v>0.6635</v>
      </c>
      <c r="K15" s="11" t="n">
        <v>0.01190871481006183</v>
      </c>
      <c r="L15" s="12" t="n">
        <v>6841.95</v>
      </c>
      <c r="M15" s="12" t="n">
        <v>6896.34</v>
      </c>
      <c r="N15" s="12" t="n">
        <v>54.39</v>
      </c>
      <c r="O15" s="13" t="n">
        <v>0.007949488084537304</v>
      </c>
    </row>
    <row r="16">
      <c r="A16" s="5" t="n">
        <v>46268</v>
      </c>
      <c r="B16" s="6" t="n">
        <v>0.5790393518518518</v>
      </c>
      <c r="C16" s="27" t="inlineStr">
        <is>
          <t>Halkbank</t>
        </is>
      </c>
      <c r="D16" s="8" t="n">
        <v>47.8848</v>
      </c>
      <c r="E16" s="8" t="n">
        <v>48.8648</v>
      </c>
      <c r="F16" s="8" t="n">
        <v>0.98</v>
      </c>
      <c r="G16" s="9" t="n">
        <v>0.02046578454958567</v>
      </c>
      <c r="H16" s="10" t="n">
        <v>55.5488</v>
      </c>
      <c r="I16" s="10" t="n">
        <v>56.6856</v>
      </c>
      <c r="J16" s="10" t="n">
        <v>1.1368</v>
      </c>
      <c r="K16" s="11" t="n">
        <v>0.0204648885304453</v>
      </c>
      <c r="L16" s="12" t="n">
        <v>6768.04</v>
      </c>
      <c r="M16" s="12" t="n">
        <v>6976.09</v>
      </c>
      <c r="N16" s="12" t="n">
        <v>208.05</v>
      </c>
      <c r="O16" s="13" t="n">
        <v>0.03074006654807005</v>
      </c>
    </row>
    <row r="17">
      <c r="A17" s="5" t="n">
        <v>46268</v>
      </c>
      <c r="B17" s="6" t="n">
        <v>0.5790393518518518</v>
      </c>
      <c r="C17" s="28" t="inlineStr">
        <is>
          <t>Harem</t>
        </is>
      </c>
      <c r="D17" s="8" t="n">
        <v>48.285</v>
      </c>
      <c r="E17" s="8" t="n">
        <v>48.329</v>
      </c>
      <c r="F17" s="8" t="n">
        <v>0.044</v>
      </c>
      <c r="G17" s="9" t="n">
        <v>0.0009112560836698767</v>
      </c>
      <c r="H17" s="10" t="n">
        <v>55.889</v>
      </c>
      <c r="I17" s="10" t="n">
        <v>56.025</v>
      </c>
      <c r="J17" s="10" t="n">
        <v>0.136</v>
      </c>
      <c r="K17" s="11" t="n">
        <v>0.002433394764622734</v>
      </c>
      <c r="L17" s="12" t="n">
        <v>6798.78</v>
      </c>
      <c r="M17" s="12" t="n">
        <v>6876.17</v>
      </c>
      <c r="N17" s="12" t="n">
        <v>77.39</v>
      </c>
      <c r="O17" s="13" t="n">
        <v>0.01138292458352822</v>
      </c>
    </row>
    <row r="18">
      <c r="A18" s="5" t="n">
        <v>46268</v>
      </c>
      <c r="B18" s="6" t="n">
        <v>0.5790393518518518</v>
      </c>
      <c r="C18" s="29" t="inlineStr">
        <is>
          <t>Hayat Finans</t>
        </is>
      </c>
      <c r="D18" s="8" t="n">
        <v>48.2355</v>
      </c>
      <c r="E18" s="8" t="n">
        <v>48.382</v>
      </c>
      <c r="F18" s="8" t="n">
        <v>0.1465</v>
      </c>
      <c r="G18" s="9" t="n">
        <v>0.003037182158368837</v>
      </c>
      <c r="H18" s="10" t="n">
        <v>55.9469</v>
      </c>
      <c r="I18" s="10" t="n">
        <v>56.1188</v>
      </c>
      <c r="J18" s="10" t="n">
        <v>0.1719</v>
      </c>
      <c r="K18" s="11" t="n">
        <v>0.003072556298919153</v>
      </c>
      <c r="L18" s="12" t="n">
        <v>6831.7</v>
      </c>
      <c r="M18" s="12" t="n">
        <v>6879.98</v>
      </c>
      <c r="N18" s="12" t="n">
        <v>48.28</v>
      </c>
      <c r="O18" s="13" t="n">
        <v>0.007067055052183204</v>
      </c>
    </row>
    <row r="19">
      <c r="A19" s="5" t="n">
        <v>46268</v>
      </c>
      <c r="B19" s="6" t="n">
        <v>0.5790393518518518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6780.95</v>
      </c>
      <c r="M19" s="12" t="n">
        <v>6979.12</v>
      </c>
      <c r="N19" s="12" t="n">
        <v>198.17</v>
      </c>
      <c r="O19" s="13" t="n">
        <v>0.02922451868838437</v>
      </c>
    </row>
    <row r="20">
      <c r="A20" s="5" t="n">
        <v>46268</v>
      </c>
      <c r="B20" s="6" t="n">
        <v>0.5790393518518518</v>
      </c>
      <c r="C20" s="31" t="inlineStr">
        <is>
          <t>HSBC</t>
        </is>
      </c>
      <c r="D20" s="8" t="n">
        <v>47.8217</v>
      </c>
      <c r="E20" s="8" t="n">
        <v>48.7085</v>
      </c>
      <c r="F20" s="8" t="n">
        <v>0.8868</v>
      </c>
      <c r="G20" s="9" t="n">
        <v>0.01854388279797665</v>
      </c>
      <c r="H20" s="10" t="n">
        <v>55.4774</v>
      </c>
      <c r="I20" s="10" t="n">
        <v>56.5369</v>
      </c>
      <c r="J20" s="10" t="n">
        <v>1.0595</v>
      </c>
      <c r="K20" s="11" t="n">
        <v>0.01909786687912556</v>
      </c>
      <c r="L20" s="12" t="n">
        <v>6773.34</v>
      </c>
      <c r="M20" s="12" t="n">
        <v>7218.38</v>
      </c>
      <c r="N20" s="12" t="n">
        <v>445.04</v>
      </c>
      <c r="O20" s="13" t="n">
        <v>0.06570465973950813</v>
      </c>
    </row>
    <row r="21">
      <c r="A21" s="5" t="n">
        <v>46268</v>
      </c>
      <c r="B21" s="6" t="n">
        <v>0.5790393518518518</v>
      </c>
      <c r="C21" s="32" t="inlineStr">
        <is>
          <t>ING Bank</t>
        </is>
      </c>
      <c r="D21" s="8" t="n">
        <v>47.7689</v>
      </c>
      <c r="E21" s="8" t="n">
        <v>48.7723</v>
      </c>
      <c r="F21" s="8" t="n">
        <v>1.0034</v>
      </c>
      <c r="G21" s="9" t="n">
        <v>0.02100529842638202</v>
      </c>
      <c r="H21" s="10" t="n">
        <v>55.4929</v>
      </c>
      <c r="I21" s="10" t="n">
        <v>56.5126</v>
      </c>
      <c r="J21" s="10" t="n">
        <v>1.0197</v>
      </c>
      <c r="K21" s="11" t="n">
        <v>0.01837532369005765</v>
      </c>
      <c r="L21" s="12" t="n">
        <v>6742.66</v>
      </c>
      <c r="M21" s="12" t="n">
        <v>6994.99</v>
      </c>
      <c r="N21" s="12" t="n">
        <v>252.33</v>
      </c>
      <c r="O21" s="13" t="n">
        <v>0.03742291617848149</v>
      </c>
    </row>
    <row r="22">
      <c r="A22" s="5" t="n">
        <v>46268</v>
      </c>
      <c r="B22" s="6" t="n">
        <v>0.5790393518518518</v>
      </c>
      <c r="C22" s="33" t="inlineStr">
        <is>
          <t>İş Bankası</t>
        </is>
      </c>
      <c r="D22" s="8" t="n">
        <v>47.6959</v>
      </c>
      <c r="E22" s="8" t="n">
        <v>48.8509</v>
      </c>
      <c r="F22" s="8" t="n">
        <v>1.155</v>
      </c>
      <c r="G22" s="9" t="n">
        <v>0.02421591793005269</v>
      </c>
      <c r="H22" s="10" t="n">
        <v>55.313</v>
      </c>
      <c r="I22" s="10" t="n">
        <v>56.667</v>
      </c>
      <c r="J22" s="10" t="n">
        <v>1.354</v>
      </c>
      <c r="K22" s="11" t="n">
        <v>0.02447887476723374</v>
      </c>
      <c r="L22" s="12" t="n">
        <v>6763.4</v>
      </c>
      <c r="M22" s="12" t="n">
        <v>6948.85</v>
      </c>
      <c r="N22" s="12" t="n">
        <v>185.45</v>
      </c>
      <c r="O22" s="13" t="n">
        <v>0.02741964100895999</v>
      </c>
    </row>
    <row r="23">
      <c r="A23" s="5" t="n">
        <v>46268</v>
      </c>
      <c r="B23" s="6" t="n">
        <v>0.5790393518518518</v>
      </c>
      <c r="C23" s="34" t="inlineStr">
        <is>
          <t>Kapalıçarşı</t>
        </is>
      </c>
      <c r="D23" s="8" t="n">
        <v>48.3</v>
      </c>
      <c r="E23" s="8" t="n">
        <v>48.31</v>
      </c>
      <c r="F23" s="8" t="n">
        <v>0.01</v>
      </c>
      <c r="G23" s="9" t="n">
        <v>0.0002070393374741201</v>
      </c>
      <c r="H23" s="10" t="n">
        <v>55.93</v>
      </c>
      <c r="I23" s="10" t="n">
        <v>55.98</v>
      </c>
      <c r="J23" s="10" t="n">
        <v>0.05</v>
      </c>
      <c r="K23" s="11" t="n">
        <v>0.0008939746111210442</v>
      </c>
      <c r="L23" s="12" t="n">
        <v>6846.95</v>
      </c>
      <c r="M23" s="12" t="n">
        <v>6853.22</v>
      </c>
      <c r="N23" s="12" t="n">
        <v>6.27</v>
      </c>
      <c r="O23" s="13" t="n">
        <v>0.0009157362037111415</v>
      </c>
    </row>
    <row r="24">
      <c r="A24" s="5" t="n">
        <v>46268</v>
      </c>
      <c r="B24" s="6" t="n">
        <v>0.5790393518518518</v>
      </c>
      <c r="C24" s="35" t="inlineStr">
        <is>
          <t>Kuveyt Türk</t>
        </is>
      </c>
      <c r="D24" s="8" t="n">
        <v>47.6305</v>
      </c>
      <c r="E24" s="8" t="n">
        <v>48.6166</v>
      </c>
      <c r="F24" s="8" t="n">
        <v>0.9861</v>
      </c>
      <c r="G24" s="9" t="n">
        <v>0.02070312089942369</v>
      </c>
      <c r="H24" s="10" t="n">
        <v>55.2585</v>
      </c>
      <c r="I24" s="10" t="n">
        <v>56.4031</v>
      </c>
      <c r="J24" s="10" t="n">
        <v>1.1446</v>
      </c>
      <c r="K24" s="11" t="n">
        <v>0.02071355538062018</v>
      </c>
      <c r="L24" s="12" t="n">
        <v>6720.13</v>
      </c>
      <c r="M24" s="12" t="n">
        <v>6898.42</v>
      </c>
      <c r="N24" s="12" t="n">
        <v>178.29</v>
      </c>
      <c r="O24" s="13" t="n">
        <v>0.0265307367565806</v>
      </c>
    </row>
    <row r="25">
      <c r="A25" s="5" t="n">
        <v>46268</v>
      </c>
      <c r="B25" s="6" t="n">
        <v>0.5790393518518518</v>
      </c>
      <c r="C25" s="36" t="inlineStr">
        <is>
          <t>Merkez Bankası</t>
        </is>
      </c>
      <c r="D25" s="8" t="n">
        <v>48.2075</v>
      </c>
      <c r="E25" s="8" t="n">
        <v>48.2943</v>
      </c>
      <c r="F25" s="8" t="n">
        <v>0.0868</v>
      </c>
      <c r="G25" s="9" t="n">
        <v>0.001800549706995799</v>
      </c>
      <c r="H25" s="10" t="n">
        <v>55.7929</v>
      </c>
      <c r="I25" s="10" t="n">
        <v>55.8934</v>
      </c>
      <c r="J25" s="10" t="n">
        <v>0.1005</v>
      </c>
      <c r="K25" s="11" t="n">
        <v>0.001801304467055844</v>
      </c>
      <c r="L25" s="12" t="n"/>
      <c r="M25" s="12" t="n"/>
      <c r="N25" s="12" t="n"/>
      <c r="O25" s="13" t="n"/>
    </row>
    <row r="26">
      <c r="A26" s="5" t="n">
        <v>46268</v>
      </c>
      <c r="B26" s="6" t="n">
        <v>0.5790393518518518</v>
      </c>
      <c r="C26" s="37" t="inlineStr">
        <is>
          <t>Misyon Bank</t>
        </is>
      </c>
      <c r="D26" s="8" t="n">
        <v>48.2443</v>
      </c>
      <c r="E26" s="8" t="n">
        <v>48.2975</v>
      </c>
      <c r="F26" s="8" t="n">
        <v>0.0532</v>
      </c>
      <c r="G26" s="9" t="n">
        <v>0.001102720943199507</v>
      </c>
      <c r="H26" s="10" t="n">
        <v>55.9263</v>
      </c>
      <c r="I26" s="10" t="n">
        <v>56.0243</v>
      </c>
      <c r="J26" s="10" t="n">
        <v>0.098</v>
      </c>
      <c r="K26" s="11" t="n">
        <v>0.00175230616007138</v>
      </c>
      <c r="L26" s="12" t="n">
        <v>6853.96</v>
      </c>
      <c r="M26" s="12" t="n">
        <v>6888.36</v>
      </c>
      <c r="N26" s="12" t="n">
        <v>34.4</v>
      </c>
      <c r="O26" s="13" t="n">
        <v>0.005018996317457352</v>
      </c>
    </row>
    <row r="27">
      <c r="A27" s="5" t="n">
        <v>46268</v>
      </c>
      <c r="B27" s="6" t="n">
        <v>0.5790393518518518</v>
      </c>
      <c r="C27" s="38" t="inlineStr">
        <is>
          <t>Odacı</t>
        </is>
      </c>
      <c r="D27" s="8" t="n">
        <v>48.304</v>
      </c>
      <c r="E27" s="8" t="n">
        <v>48.386</v>
      </c>
      <c r="F27" s="8" t="n">
        <v>0.082</v>
      </c>
      <c r="G27" s="9" t="n">
        <v>0.00169758198078834</v>
      </c>
      <c r="H27" s="10" t="n">
        <v>55.834</v>
      </c>
      <c r="I27" s="10" t="n">
        <v>56.096</v>
      </c>
      <c r="J27" s="10" t="n">
        <v>0.262</v>
      </c>
      <c r="K27" s="11" t="n">
        <v>0.004692481283805566</v>
      </c>
      <c r="L27" s="12" t="n">
        <v>6817</v>
      </c>
      <c r="M27" s="12" t="n">
        <v>6868</v>
      </c>
      <c r="N27" s="12" t="n">
        <v>51</v>
      </c>
      <c r="O27" s="13" t="n">
        <v>0.007481296758104739</v>
      </c>
    </row>
    <row r="28">
      <c r="A28" s="5" t="n">
        <v>46268</v>
      </c>
      <c r="B28" s="6" t="n">
        <v>0.5790393518518518</v>
      </c>
      <c r="C28" s="39" t="inlineStr">
        <is>
          <t>Odeabank</t>
        </is>
      </c>
      <c r="D28" s="8" t="n">
        <v>47.7755</v>
      </c>
      <c r="E28" s="8" t="n">
        <v>48.7755</v>
      </c>
      <c r="F28" s="8" t="n">
        <v>1</v>
      </c>
      <c r="G28" s="9" t="n">
        <v>0.02093123044238156</v>
      </c>
      <c r="H28" s="10" t="n">
        <v>55.444</v>
      </c>
      <c r="I28" s="10" t="n">
        <v>56.534</v>
      </c>
      <c r="J28" s="10" t="n">
        <v>1.09</v>
      </c>
      <c r="K28" s="11" t="n">
        <v>0.01965947622826636</v>
      </c>
      <c r="L28" s="12" t="n">
        <v>6818.14</v>
      </c>
      <c r="M28" s="12" t="n">
        <v>6918.14</v>
      </c>
      <c r="N28" s="12" t="n">
        <v>100</v>
      </c>
      <c r="O28" s="13" t="n">
        <v>0.01466675662277395</v>
      </c>
    </row>
    <row r="29">
      <c r="A29" s="5" t="n">
        <v>46268</v>
      </c>
      <c r="B29" s="6" t="n">
        <v>0.5790393518518518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6780.95</v>
      </c>
      <c r="M29" s="12" t="n">
        <v>6965.19</v>
      </c>
      <c r="N29" s="12" t="n">
        <v>184.24</v>
      </c>
      <c r="O29" s="13" t="n">
        <v>0.02717023425921147</v>
      </c>
    </row>
    <row r="30">
      <c r="A30" s="5" t="n">
        <v>46268</v>
      </c>
      <c r="B30" s="6" t="n">
        <v>0.5790393518518518</v>
      </c>
      <c r="C30" s="41" t="inlineStr">
        <is>
          <t>QNB Finansbank</t>
        </is>
      </c>
      <c r="D30" s="8" t="n">
        <v>47.7045</v>
      </c>
      <c r="E30" s="8" t="n">
        <v>48.9245</v>
      </c>
      <c r="F30" s="8" t="n">
        <v>1.22</v>
      </c>
      <c r="G30" s="9" t="n">
        <v>0.02557410726451383</v>
      </c>
      <c r="H30" s="10" t="n">
        <v>55.2258</v>
      </c>
      <c r="I30" s="10" t="n">
        <v>56.8814</v>
      </c>
      <c r="J30" s="10" t="n">
        <v>1.6556</v>
      </c>
      <c r="K30" s="11" t="n">
        <v>0.02997874181994647</v>
      </c>
      <c r="L30" s="12" t="n">
        <v>6741.82</v>
      </c>
      <c r="M30" s="12" t="n">
        <v>6944.4</v>
      </c>
      <c r="N30" s="12" t="n">
        <v>202.58</v>
      </c>
      <c r="O30" s="13" t="n">
        <v>0.03004826589852592</v>
      </c>
    </row>
    <row r="31">
      <c r="A31" s="5" t="n">
        <v>46268</v>
      </c>
      <c r="B31" s="6" t="n">
        <v>0.5790393518518518</v>
      </c>
      <c r="C31" s="42" t="inlineStr">
        <is>
          <t>TOM Bank Hadi</t>
        </is>
      </c>
      <c r="D31" s="8" t="n">
        <v>48.1907</v>
      </c>
      <c r="E31" s="8" t="n">
        <v>48.4081</v>
      </c>
      <c r="F31" s="8" t="n">
        <v>0.2174</v>
      </c>
      <c r="G31" s="9" t="n">
        <v>0.004511243870705344</v>
      </c>
      <c r="H31" s="10" t="n">
        <v>55.8248</v>
      </c>
      <c r="I31" s="10" t="n">
        <v>56.1611</v>
      </c>
      <c r="J31" s="10" t="n">
        <v>0.3363</v>
      </c>
      <c r="K31" s="11" t="n">
        <v>0.006024204296298419</v>
      </c>
      <c r="L31" s="12" t="n">
        <v>6755.73</v>
      </c>
      <c r="M31" s="12" t="n">
        <v>6892.56</v>
      </c>
      <c r="N31" s="12" t="n">
        <v>136.83</v>
      </c>
      <c r="O31" s="13" t="n">
        <v>0.02025391778534666</v>
      </c>
    </row>
    <row r="32">
      <c r="A32" s="5" t="n">
        <v>46268</v>
      </c>
      <c r="B32" s="6" t="n">
        <v>0.5790393518518518</v>
      </c>
      <c r="C32" s="43" t="inlineStr">
        <is>
          <t>Türkiye Finans</t>
        </is>
      </c>
      <c r="D32" s="8" t="n">
        <v>47.8693</v>
      </c>
      <c r="E32" s="8" t="n">
        <v>48.6711</v>
      </c>
      <c r="F32" s="8" t="n">
        <v>0.8018</v>
      </c>
      <c r="G32" s="9" t="n">
        <v>0.01674977490792637</v>
      </c>
      <c r="H32" s="10" t="n">
        <v>55.5596</v>
      </c>
      <c r="I32" s="10" t="n">
        <v>56.4105</v>
      </c>
      <c r="J32" s="10" t="n">
        <v>0.8509</v>
      </c>
      <c r="K32" s="11" t="n">
        <v>0.0153150850618075</v>
      </c>
      <c r="L32" s="12" t="n">
        <v>6767.92</v>
      </c>
      <c r="M32" s="12" t="n">
        <v>6964.67</v>
      </c>
      <c r="N32" s="12" t="n">
        <v>196.75</v>
      </c>
      <c r="O32" s="13" t="n">
        <v>0.02907097010602962</v>
      </c>
    </row>
    <row r="33">
      <c r="A33" s="5" t="n">
        <v>46268</v>
      </c>
      <c r="B33" s="6" t="n">
        <v>0.5790393518518518</v>
      </c>
      <c r="C33" s="44" t="inlineStr">
        <is>
          <t>Vakıf Katılım</t>
        </is>
      </c>
      <c r="D33" s="8" t="n">
        <v>48.1712</v>
      </c>
      <c r="E33" s="8" t="n">
        <v>48.3744</v>
      </c>
      <c r="F33" s="8" t="n">
        <v>0.2032</v>
      </c>
      <c r="G33" s="9" t="n">
        <v>0.004218288105756137</v>
      </c>
      <c r="H33" s="10" t="n">
        <v>55.8686</v>
      </c>
      <c r="I33" s="10" t="n">
        <v>56.0937</v>
      </c>
      <c r="J33" s="10" t="n">
        <v>0.2251</v>
      </c>
      <c r="K33" s="11" t="n">
        <v>0.004029096845097246</v>
      </c>
      <c r="L33" s="12" t="n">
        <v>6806.13</v>
      </c>
      <c r="M33" s="12" t="n">
        <v>6860.8</v>
      </c>
      <c r="N33" s="12" t="n">
        <v>54.67</v>
      </c>
      <c r="O33" s="13" t="n">
        <v>0.008032464851538246</v>
      </c>
    </row>
    <row r="34">
      <c r="A34" s="5" t="n">
        <v>46268</v>
      </c>
      <c r="B34" s="6" t="n">
        <v>0.5790393518518518</v>
      </c>
      <c r="C34" s="45" t="inlineStr">
        <is>
          <t>Vakıfbank</t>
        </is>
      </c>
      <c r="D34" s="8" t="n">
        <v>47.9119</v>
      </c>
      <c r="E34" s="8" t="n">
        <v>48.8729</v>
      </c>
      <c r="F34" s="8" t="n">
        <v>0.961</v>
      </c>
      <c r="G34" s="9" t="n">
        <v>0.02005764747380087</v>
      </c>
      <c r="H34" s="10" t="n">
        <v>55.6027</v>
      </c>
      <c r="I34" s="10" t="n">
        <v>56.7214</v>
      </c>
      <c r="J34" s="10" t="n">
        <v>1.1187</v>
      </c>
      <c r="K34" s="11" t="n">
        <v>0.02011952656975291</v>
      </c>
      <c r="L34" s="12" t="n">
        <v>6774.91</v>
      </c>
      <c r="M34" s="12" t="n">
        <v>6919.51</v>
      </c>
      <c r="N34" s="12" t="n">
        <v>144.6</v>
      </c>
      <c r="O34" s="13" t="n">
        <v>0.02134345696105188</v>
      </c>
    </row>
    <row r="35">
      <c r="A35" s="5" t="n">
        <v>46268</v>
      </c>
      <c r="B35" s="6" t="n">
        <v>0.5790393518518518</v>
      </c>
      <c r="C35" s="46" t="inlineStr">
        <is>
          <t>Venüs</t>
        </is>
      </c>
      <c r="D35" s="8" t="n">
        <v>48.291</v>
      </c>
      <c r="E35" s="8" t="n">
        <v>48.329</v>
      </c>
      <c r="F35" s="8" t="n">
        <v>0.038</v>
      </c>
      <c r="G35" s="9" t="n">
        <v>0.0007868961090058189</v>
      </c>
      <c r="H35" s="10" t="n">
        <v>55.902</v>
      </c>
      <c r="I35" s="10" t="n">
        <v>56.013</v>
      </c>
      <c r="J35" s="10" t="n">
        <v>0.111</v>
      </c>
      <c r="K35" s="11" t="n">
        <v>0.001985617688097027</v>
      </c>
      <c r="L35" s="12" t="n"/>
      <c r="M35" s="12" t="n"/>
      <c r="N35" s="12" t="n"/>
      <c r="O35" s="13" t="n"/>
    </row>
    <row r="36">
      <c r="A36" s="5" t="n">
        <v>46268</v>
      </c>
      <c r="B36" s="6" t="n">
        <v>0.5790393518518518</v>
      </c>
      <c r="C36" s="47" t="inlineStr">
        <is>
          <t>Yapıkredi</t>
        </is>
      </c>
      <c r="D36" s="8" t="n">
        <v>47.72</v>
      </c>
      <c r="E36" s="8" t="n">
        <v>48.62</v>
      </c>
      <c r="F36" s="8" t="n">
        <v>0.9</v>
      </c>
      <c r="G36" s="9" t="n">
        <v>0.01886001676445935</v>
      </c>
      <c r="H36" s="10" t="n">
        <v>55.36</v>
      </c>
      <c r="I36" s="10" t="n">
        <v>56.38</v>
      </c>
      <c r="J36" s="10" t="n">
        <v>1.02</v>
      </c>
      <c r="K36" s="11" t="n">
        <v>0.01842485549132948</v>
      </c>
      <c r="L36" s="12" t="n">
        <v>6748.18</v>
      </c>
      <c r="M36" s="12" t="n">
        <v>6937.84</v>
      </c>
      <c r="N36" s="12" t="n">
        <v>189.66</v>
      </c>
      <c r="O36" s="13" t="n">
        <v>0.02810535581445664</v>
      </c>
    </row>
    <row r="37">
      <c r="A37" s="5" t="n">
        <v>46268</v>
      </c>
      <c r="B37" s="6" t="n">
        <v>0.5790393518518518</v>
      </c>
      <c r="C37" s="48" t="inlineStr">
        <is>
          <t>Ziraat Bankası</t>
        </is>
      </c>
      <c r="D37" s="8" t="n">
        <v>47.9078</v>
      </c>
      <c r="E37" s="8" t="n">
        <v>48.877</v>
      </c>
      <c r="F37" s="8" t="n">
        <v>0.9692</v>
      </c>
      <c r="G37" s="9" t="n">
        <v>0.02023052613561883</v>
      </c>
      <c r="H37" s="10" t="n">
        <v>55.5555</v>
      </c>
      <c r="I37" s="10" t="n">
        <v>56.6794</v>
      </c>
      <c r="J37" s="10" t="n">
        <v>1.1239</v>
      </c>
      <c r="K37" s="11" t="n">
        <v>0.02023022023022023</v>
      </c>
      <c r="L37" s="12" t="n">
        <v>6806.95</v>
      </c>
      <c r="M37" s="12" t="n">
        <v>6944.39</v>
      </c>
      <c r="N37" s="12" t="n">
        <v>137.44</v>
      </c>
      <c r="O37" s="13" t="n">
        <v>0.02019112818516369</v>
      </c>
    </row>
    <row r="38">
      <c r="A38" s="5" t="n">
        <v>46268</v>
      </c>
      <c r="B38" s="6" t="n">
        <v>0.5790393518518518</v>
      </c>
      <c r="C38" s="49" t="inlineStr">
        <is>
          <t>Ziraat Dinamik</t>
        </is>
      </c>
      <c r="D38" s="8" t="n">
        <v>47.9557</v>
      </c>
      <c r="E38" s="8" t="n">
        <v>48.6082</v>
      </c>
      <c r="F38" s="8" t="n">
        <v>0.6525</v>
      </c>
      <c r="G38" s="9" t="n">
        <v>0.01360630748795242</v>
      </c>
      <c r="H38" s="10" t="n">
        <v>55.562</v>
      </c>
      <c r="I38" s="10" t="n">
        <v>56.3743</v>
      </c>
      <c r="J38" s="10" t="n">
        <v>0.8123</v>
      </c>
      <c r="K38" s="11" t="n">
        <v>0.01461970411432274</v>
      </c>
      <c r="L38" s="12" t="n">
        <v>6776.4</v>
      </c>
      <c r="M38" s="12" t="n">
        <v>6913.23</v>
      </c>
      <c r="N38" s="12" t="n">
        <v>136.83</v>
      </c>
      <c r="O38" s="13" t="n">
        <v>0.02019213741809811</v>
      </c>
    </row>
    <row r="39">
      <c r="A39" s="5" t="n">
        <v>46268</v>
      </c>
      <c r="B39" s="6" t="n">
        <v>0.5790393518518518</v>
      </c>
      <c r="C39" s="50" t="inlineStr">
        <is>
          <t>Ziraat Katılım</t>
        </is>
      </c>
      <c r="D39" s="8" t="n">
        <v>47.7853</v>
      </c>
      <c r="E39" s="8" t="n">
        <v>48.7835</v>
      </c>
      <c r="F39" s="8" t="n">
        <v>0.9982</v>
      </c>
      <c r="G39" s="9" t="n">
        <v>0.02088926929411346</v>
      </c>
      <c r="H39" s="10" t="n">
        <v>55.3938</v>
      </c>
      <c r="I39" s="10" t="n">
        <v>56.6063</v>
      </c>
      <c r="J39" s="10" t="n">
        <v>1.2125</v>
      </c>
      <c r="K39" s="11" t="n">
        <v>0.02188873122984883</v>
      </c>
      <c r="L39" s="12" t="n">
        <v>6795.78</v>
      </c>
      <c r="M39" s="12" t="n">
        <v>7011.57</v>
      </c>
      <c r="N39" s="12" t="n">
        <v>215.79</v>
      </c>
      <c r="O39" s="13" t="n">
        <v>0.0317535293961841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</hyperlinks>
  <pageMargins left="0.75" right="0.75" top="1" bottom="1" header="0.5" footer="0.5"/>
  <tableParts count="1">
    <tablePart xmlns:r="http://schemas.openxmlformats.org/officeDocument/2006/relationships" r:id="rId75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46268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0.5790393518518518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0.01886001676445935</v>
      </c>
      <c r="O5" s="71" t="inlineStr">
        <is>
          <t>Yapıkredi</t>
        </is>
      </c>
      <c r="P5" s="72" t="n">
        <v>47.72</v>
      </c>
      <c r="Q5" s="72" t="n">
        <v>48.62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0.01842485549132948</v>
      </c>
      <c r="O6" s="71" t="inlineStr">
        <is>
          <t>Yapıkredi</t>
        </is>
      </c>
      <c r="P6" s="72" t="n">
        <v>55.36</v>
      </c>
      <c r="Q6" s="72" t="n">
        <v>56.38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1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6" t="inlineStr">
        <is>
          <t>GRAM ALTIN</t>
        </is>
      </c>
      <c r="M7" s="62" t="n">
        <v>5</v>
      </c>
      <c r="N7" s="70" t="n">
        <v>0.02019112818516369</v>
      </c>
      <c r="O7" s="77" t="inlineStr">
        <is>
          <t>Ziraat Bankası</t>
        </is>
      </c>
      <c r="P7" s="72" t="n">
        <v>6806.95</v>
      </c>
      <c r="Q7" s="72" t="n">
        <v>6944.39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7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0.02844860558628776</v>
      </c>
      <c r="I10" s="67" t="n">
        <v>0.02845282527677321</v>
      </c>
      <c r="J10" s="68" t="n">
        <v>0.03694211641961482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0.02842065661994164</v>
      </c>
      <c r="I11" s="67" t="n">
        <v>0.02845076126263018</v>
      </c>
      <c r="J11" s="68" t="n">
        <v>0.03613507814746245</v>
      </c>
    </row>
    <row r="12">
      <c r="F12" s="62" t="inlineStr">
        <is>
          <t>Eylül 2026</t>
        </is>
      </c>
      <c r="G12" s="71" t="inlineStr">
        <is>
          <t>Yapıkredi</t>
        </is>
      </c>
      <c r="H12" s="66" t="n">
        <v>0.02035049948431565</v>
      </c>
      <c r="I12" s="67" t="n">
        <v>0.01978649362414892</v>
      </c>
      <c r="J12" s="68" t="n">
        <v>0.02970877663752912</v>
      </c>
    </row>
    <row r="13">
      <c r="F13" s="62" t="inlineStr">
        <is>
          <t>Eylül 2026</t>
        </is>
      </c>
      <c r="G13" s="77" t="inlineStr">
        <is>
          <t>Ziraat Bankası</t>
        </is>
      </c>
      <c r="H13" s="66" t="n">
        <v>0.02023037507033105</v>
      </c>
      <c r="I13" s="67" t="n">
        <v>0.02023067952234644</v>
      </c>
      <c r="J13" s="68" t="n">
        <v>0.02019167096222166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0.0242208653485421</v>
      </c>
      <c r="I14" s="67" t="n">
        <v>0.02439335957551413</v>
      </c>
      <c r="J14" s="68" t="n">
        <v>0.02742606341656465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0.02844860558628776</v>
      </c>
      <c r="V3" s="55" t="n">
        <v>0.02842065661994164</v>
      </c>
      <c r="W3" s="55" t="n">
        <v>0.02035049948431565</v>
      </c>
      <c r="X3" s="55" t="n">
        <v>0.02023037507033105</v>
      </c>
      <c r="Y3" s="55" t="n">
        <v>0.0242208653485421</v>
      </c>
      <c r="Z3" s="55" t="n">
        <v>0.02845282527677321</v>
      </c>
      <c r="AA3" s="55" t="n">
        <v>0.02845076126263018</v>
      </c>
      <c r="AB3" s="55" t="n">
        <v>0.01978649362414892</v>
      </c>
      <c r="AC3" s="55" t="n">
        <v>0.02023067952234644</v>
      </c>
      <c r="AD3" s="55" t="n">
        <v>0.02439335957551413</v>
      </c>
      <c r="AE3" s="55" t="n">
        <v>0.03694211641961482</v>
      </c>
      <c r="AF3" s="55" t="n">
        <v>0.03613507814746245</v>
      </c>
      <c r="AG3" s="55" t="n">
        <v>0.02970877663752912</v>
      </c>
      <c r="AH3" s="55" t="n">
        <v>0.02019167096222166</v>
      </c>
      <c r="AI3" s="55" t="n">
        <v>0.02742606341656465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2026-09-03T10:54:32Z</dcterms:created>
  <dcterms:modified xsi:type="dcterms:W3CDTF">2026-09-03T10:54:33Z</dcterms:modified>
</cp:coreProperties>
</file>