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'GRAFIK_VERILERI'!$B$2:$B$11</f>
              <numCache>
                <formatCode>0.00%</formatCode>
                <ptCount val="1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'GRAFIK_VERILERI'!$C$2:$C$11</f>
              <numCache>
                <formatCode>0.00%</formatCode>
                <ptCount val="1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'GRAFIK_VERILERI'!$D$2:$D$11</f>
              <numCache>
                <formatCode>0.00%</formatCode>
                <ptCount val="1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'GRAFIK_VERILERI'!$E$2:$E$11</f>
              <numCache>
                <formatCode>0.00%</formatCode>
                <ptCount val="1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'GRAFIK_VERILERI'!$F$2:$F$11</f>
              <numCache>
                <formatCode>0.00%</formatCode>
                <ptCount val="1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'GRAFIK_VERILERI'!$G$2:$G$11</f>
              <numCache>
                <formatCode>0.00%</formatCode>
                <ptCount val="1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'GRAFIK_VERILERI'!$H$2:$H$11</f>
              <numCache>
                <formatCode>0.00%</formatCode>
                <ptCount val="1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'GRAFIK_VERILERI'!$I$2:$I$11</f>
              <numCache>
                <formatCode>0.00%</formatCode>
                <ptCount val="1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'GRAFIK_VERILERI'!$J$2:$J$11</f>
              <numCache>
                <formatCode>0.00%</formatCode>
                <ptCount val="1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'GRAFIK_VERILERI'!$K$2:$K$11</f>
              <numCache>
                <formatCode>0.00%</formatCode>
                <ptCount val="1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'GRAFIK_VERILERI'!$L$2:$L$11</f>
              <numCache>
                <formatCode>0.00%</formatCode>
                <ptCount val="1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'GRAFIK_VERILERI'!$M$2:$M$11</f>
              <numCache>
                <formatCode>0.00%</formatCode>
                <ptCount val="1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'GRAFIK_VERILERI'!$N$2:$N$11</f>
              <numCache>
                <formatCode>0.00%</formatCode>
                <ptCount val="1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'GRAFIK_VERILERI'!$O$2:$O$11</f>
              <numCache>
                <formatCode>0.00%</formatCode>
                <ptCount val="1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'GRAFIK_VERILERI'!$P$2:$P$11</f>
              <numCache>
                <formatCode>0.00%</formatCode>
                <ptCount val="1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0.03309911326579967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0.03811369906185476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0.03124174511791733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0.03377960580563458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0.03465647216446921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0623709239956"/>
          <min val="0.0287868808823419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0.03309811925360681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0.03820454104389736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0.02892802793142863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0.03377950971389219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0.03480263903213252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82686993769201"/>
          <min val="0.0255499181045247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0.04818566864414191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0.05237786157087044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0.04501494476664027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0.06169082216280359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0.06043817263451366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2313100414926"/>
          <min val="0.0365084623394856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'GRAFIK_VERILERI'!$B$2:$B$11</f>
              <numCache>
                <formatCode>0.00%</formatCode>
                <ptCount val="1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10606190364"/>
          <min val="0.025617275201849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'GRAFIK_VERILERI'!$G$2:$G$11</f>
              <numCache>
                <formatCode>0.00%</formatCode>
                <ptCount val="1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969566577773"/>
          <min val="0.025604917766149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'GRAFIK_VERILERI'!$L$2:$L$11</f>
              <numCache>
                <formatCode>0.00%</formatCode>
                <ptCount val="1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51621853293"/>
          <min val="0.030187497800830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'GRAFIK_VERILERI'!$C$2:$C$11</f>
              <numCache>
                <formatCode>0.00%</formatCode>
                <ptCount val="1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309724202022"/>
          <min val="0.0225389668612007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'GRAFIK_VERILERI'!$H$2:$H$11</f>
              <numCache>
                <formatCode>0.00%</formatCode>
                <ptCount val="1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'GRAFIK_VERILERI'!$M$2:$M$11</f>
              <numCache>
                <formatCode>0.00%</formatCode>
                <ptCount val="1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3619663327227"/>
          <min val="0.026299859623130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'GRAFIK_VERILERI'!$D$2:$D$11</f>
              <numCache>
                <formatCode>0.00%</formatCode>
                <ptCount val="1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'GRAFIK_VERILERI'!$I$2:$I$11</f>
              <numCache>
                <formatCode>0.00%</formatCode>
                <ptCount val="1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'GRAFIK_VERILERI'!$N$2:$N$11</f>
              <numCache>
                <formatCode>0.00%</formatCode>
                <ptCount val="1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'GRAFIK_VERILERI'!$E$2:$E$11</f>
              <numCache>
                <formatCode>0.00%</formatCode>
                <ptCount val="1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'GRAFIK_VERILERI'!$J$2:$J$11</f>
              <numCache>
                <formatCode>0.00%</formatCode>
                <ptCount val="1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'GRAFIK_VERILERI'!$O$2:$O$11</f>
              <numCache>
                <formatCode>0.00%</formatCode>
                <ptCount val="1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'GRAFIK_VERILERI'!$F$2:$F$11</f>
              <numCache>
                <formatCode>0.00%</formatCode>
                <ptCount val="1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650991777799"/>
          <min val="0.0179602468517135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'GRAFIK_VERILERI'!$K$2:$K$11</f>
              <numCache>
                <formatCode>0.00%</formatCode>
                <ptCount val="1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'GRAFIK_VERILERI'!$A$2:$A$11</f>
              <strCache>
                <ptCount val="1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</strCache>
            </strRef>
          </cat>
          <val>
            <numRef>
              <f>'GRAFIK_VERILERI'!$P$2:$P$11</f>
              <numCache>
                <formatCode>0.00%</formatCode>
                <ptCount val="1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081" headerRowCount="1">
  <autoFilter ref="A1:N108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table" Target="/xl/tables/table2.xml" Id="rId108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46271</v>
      </c>
      <c r="B2" s="6" t="n">
        <v>0.5805092592592592</v>
      </c>
      <c r="C2" s="7" t="inlineStr">
        <is>
          <t>Akbank</t>
        </is>
      </c>
      <c r="D2" s="8" t="n">
        <v>46.951</v>
      </c>
      <c r="E2" s="8" t="n">
        <v>49.651</v>
      </c>
      <c r="F2" s="8" t="n">
        <v>2.7</v>
      </c>
      <c r="G2" s="9" t="n">
        <v>0.05750676236927861</v>
      </c>
      <c r="H2" s="10" t="n">
        <v>54.5241</v>
      </c>
      <c r="I2" s="10" t="n">
        <v>57.6696</v>
      </c>
      <c r="J2" s="10" t="n">
        <v>3.1455</v>
      </c>
      <c r="K2" s="11" t="n">
        <v>0.05769008566853923</v>
      </c>
      <c r="L2" s="12" t="n">
        <v>6720.67</v>
      </c>
      <c r="M2" s="12" t="n">
        <v>7291.11</v>
      </c>
      <c r="N2" s="12" t="n">
        <v>570.4400000000001</v>
      </c>
      <c r="O2" s="13" t="n">
        <v>0.08487844217912797</v>
      </c>
    </row>
    <row r="3">
      <c r="A3" s="5" t="n">
        <v>46271</v>
      </c>
      <c r="B3" s="6" t="n">
        <v>0.5805092592592592</v>
      </c>
      <c r="C3" s="14" t="inlineStr">
        <is>
          <t>Albaraka Türk</t>
        </is>
      </c>
      <c r="D3" s="8" t="n">
        <v>47.98</v>
      </c>
      <c r="E3" s="8" t="n">
        <v>48.963</v>
      </c>
      <c r="F3" s="8" t="n">
        <v>0.983</v>
      </c>
      <c r="G3" s="9" t="n">
        <v>0.0204877032096707</v>
      </c>
      <c r="H3" s="10" t="n">
        <v>55.719</v>
      </c>
      <c r="I3" s="10" t="n">
        <v>56.866</v>
      </c>
      <c r="J3" s="10" t="n">
        <v>1.147</v>
      </c>
      <c r="K3" s="11" t="n">
        <v>0.02058543764245589</v>
      </c>
      <c r="L3" s="12" t="n">
        <v>6783.95</v>
      </c>
      <c r="M3" s="12" t="n">
        <v>6952.63</v>
      </c>
      <c r="N3" s="12" t="n">
        <v>168.68</v>
      </c>
      <c r="O3" s="13" t="n">
        <v>0.02486457005137125</v>
      </c>
    </row>
    <row r="4">
      <c r="A4" s="5" t="n">
        <v>46271</v>
      </c>
      <c r="B4" s="6" t="n">
        <v>0.5805092592592592</v>
      </c>
      <c r="C4" s="15" t="inlineStr">
        <is>
          <t>Alternatif Bank</t>
        </is>
      </c>
      <c r="D4" s="8" t="n">
        <v>46.299</v>
      </c>
      <c r="E4" s="8" t="n">
        <v>50.301</v>
      </c>
      <c r="F4" s="8" t="n">
        <v>4.002</v>
      </c>
      <c r="G4" s="9" t="n">
        <v>0.08643815201192251</v>
      </c>
      <c r="H4" s="10" t="n">
        <v>53.617</v>
      </c>
      <c r="I4" s="10" t="n">
        <v>58.434</v>
      </c>
      <c r="J4" s="10" t="n">
        <v>4.817</v>
      </c>
      <c r="K4" s="11" t="n">
        <v>0.08984090866702726</v>
      </c>
      <c r="L4" s="12" t="n">
        <v>6582.3</v>
      </c>
      <c r="M4" s="12" t="n">
        <v>7179.59</v>
      </c>
      <c r="N4" s="12" t="n">
        <v>597.29</v>
      </c>
      <c r="O4" s="13" t="n">
        <v>0.0907418379593759</v>
      </c>
    </row>
    <row r="5">
      <c r="A5" s="5" t="n">
        <v>46271</v>
      </c>
      <c r="B5" s="6" t="n">
        <v>0.5805092592592592</v>
      </c>
      <c r="C5" s="16" t="inlineStr">
        <is>
          <t>Altınkaynak</t>
        </is>
      </c>
      <c r="D5" s="8" t="n">
        <v>48.258</v>
      </c>
      <c r="E5" s="8" t="n">
        <v>48.542</v>
      </c>
      <c r="F5" s="8" t="n">
        <v>0.284</v>
      </c>
      <c r="G5" s="9" t="n">
        <v>0.005885034605661238</v>
      </c>
      <c r="H5" s="10" t="n">
        <v>55.893</v>
      </c>
      <c r="I5" s="10" t="n">
        <v>56.374</v>
      </c>
      <c r="J5" s="10" t="n">
        <v>0.481</v>
      </c>
      <c r="K5" s="11" t="n">
        <v>0.008605728803249064</v>
      </c>
      <c r="L5" s="12" t="n">
        <v>6784.36</v>
      </c>
      <c r="M5" s="12" t="n">
        <v>6970</v>
      </c>
      <c r="N5" s="12" t="n">
        <v>185.64</v>
      </c>
      <c r="O5" s="13" t="n">
        <v>0.02736293474992483</v>
      </c>
    </row>
    <row r="6">
      <c r="A6" s="5" t="n">
        <v>46271</v>
      </c>
      <c r="B6" s="6" t="n">
        <v>0.5805092592592592</v>
      </c>
      <c r="C6" s="17" t="inlineStr">
        <is>
          <t>Anadolubank</t>
        </is>
      </c>
      <c r="D6" s="8" t="n">
        <v>47.7626</v>
      </c>
      <c r="E6" s="8" t="n">
        <v>48.8155</v>
      </c>
      <c r="F6" s="8" t="n">
        <v>1.0529</v>
      </c>
      <c r="G6" s="9" t="n">
        <v>0.02204444481665571</v>
      </c>
      <c r="H6" s="10" t="n">
        <v>54.8361</v>
      </c>
      <c r="I6" s="10" t="n">
        <v>57.2538</v>
      </c>
      <c r="J6" s="10" t="n">
        <v>2.4177</v>
      </c>
      <c r="K6" s="11" t="n">
        <v>0.04408956873300617</v>
      </c>
      <c r="L6" s="12" t="n">
        <v>6242.42</v>
      </c>
      <c r="M6" s="12" t="n">
        <v>7453.4</v>
      </c>
      <c r="N6" s="12" t="n">
        <v>1210.98</v>
      </c>
      <c r="O6" s="13" t="n">
        <v>0.1939920735868461</v>
      </c>
    </row>
    <row r="7">
      <c r="A7" s="5" t="n">
        <v>46271</v>
      </c>
      <c r="B7" s="6" t="n">
        <v>0.5805092592592592</v>
      </c>
      <c r="C7" s="18" t="inlineStr">
        <is>
          <t>CEPTETEB</t>
        </is>
      </c>
      <c r="D7" s="8" t="n">
        <v>46.231</v>
      </c>
      <c r="E7" s="8" t="n">
        <v>50.376</v>
      </c>
      <c r="F7" s="8" t="n">
        <v>4.145</v>
      </c>
      <c r="G7" s="9" t="n">
        <v>0.08965845428392205</v>
      </c>
      <c r="H7" s="10" t="n">
        <v>53.67</v>
      </c>
      <c r="I7" s="10" t="n">
        <v>58.481</v>
      </c>
      <c r="J7" s="10" t="n">
        <v>4.811</v>
      </c>
      <c r="K7" s="11" t="n">
        <v>0.08964039500652132</v>
      </c>
      <c r="L7" s="12" t="n">
        <v>5902.36</v>
      </c>
      <c r="M7" s="12" t="n">
        <v>7899.21</v>
      </c>
      <c r="N7" s="12" t="n">
        <v>1996.85</v>
      </c>
      <c r="O7" s="13" t="n">
        <v>0.3383138270115683</v>
      </c>
    </row>
    <row r="8">
      <c r="A8" s="5" t="n">
        <v>46271</v>
      </c>
      <c r="B8" s="6" t="n">
        <v>0.5805092592592592</v>
      </c>
      <c r="C8" s="19" t="inlineStr">
        <is>
          <t>Denizbank</t>
        </is>
      </c>
      <c r="D8" s="8" t="n">
        <v>46.8549</v>
      </c>
      <c r="E8" s="8" t="n">
        <v>49.655</v>
      </c>
      <c r="F8" s="8" t="n">
        <v>2.8001</v>
      </c>
      <c r="G8" s="9" t="n">
        <v>0.05976109222301189</v>
      </c>
      <c r="H8" s="10" t="n">
        <v>54.3943</v>
      </c>
      <c r="I8" s="10" t="n">
        <v>57.6499</v>
      </c>
      <c r="J8" s="10" t="n">
        <v>3.2556</v>
      </c>
      <c r="K8" s="11" t="n">
        <v>0.05985185947792324</v>
      </c>
      <c r="L8" s="12" t="n">
        <v>6668.77</v>
      </c>
      <c r="M8" s="12" t="n">
        <v>7068.95</v>
      </c>
      <c r="N8" s="12" t="n">
        <v>400.18</v>
      </c>
      <c r="O8" s="13" t="n">
        <v>0.06000806745471803</v>
      </c>
    </row>
    <row r="9">
      <c r="A9" s="5" t="n">
        <v>46271</v>
      </c>
      <c r="B9" s="6" t="n">
        <v>0.5805092592592592</v>
      </c>
      <c r="C9" s="20" t="inlineStr">
        <is>
          <t>DestekBank</t>
        </is>
      </c>
      <c r="D9" s="8" t="n">
        <v>48.0852</v>
      </c>
      <c r="E9" s="8" t="n">
        <v>48.4354</v>
      </c>
      <c r="F9" s="8" t="n">
        <v>0.3502</v>
      </c>
      <c r="G9" s="9" t="n">
        <v>0.007282906174872934</v>
      </c>
      <c r="H9" s="10" t="n">
        <v>55.8259</v>
      </c>
      <c r="I9" s="10" t="n">
        <v>56.2539</v>
      </c>
      <c r="J9" s="10" t="n">
        <v>0.428</v>
      </c>
      <c r="K9" s="11" t="n">
        <v>0.00766669234172669</v>
      </c>
      <c r="L9" s="12" t="n">
        <v>6805.05</v>
      </c>
      <c r="M9" s="12" t="n">
        <v>6876.24</v>
      </c>
      <c r="N9" s="12" t="n">
        <v>71.19</v>
      </c>
      <c r="O9" s="13" t="n">
        <v>0.0104613485573214</v>
      </c>
    </row>
    <row r="10">
      <c r="A10" s="5" t="n">
        <v>46271</v>
      </c>
      <c r="B10" s="6" t="n">
        <v>0.5805092592592592</v>
      </c>
      <c r="C10" s="21" t="inlineStr">
        <is>
          <t>Dünya Katılım</t>
        </is>
      </c>
      <c r="D10" s="8" t="n">
        <v>48.3137</v>
      </c>
      <c r="E10" s="8" t="n">
        <v>48.3933</v>
      </c>
      <c r="F10" s="8" t="n">
        <v>0.0796</v>
      </c>
      <c r="G10" s="9" t="n">
        <v>0.001647565804316374</v>
      </c>
      <c r="H10" s="10" t="n">
        <v>56.0357</v>
      </c>
      <c r="I10" s="10" t="n">
        <v>56.2416</v>
      </c>
      <c r="J10" s="10" t="n">
        <v>0.2059</v>
      </c>
      <c r="K10" s="11" t="n">
        <v>0.003674443256709562</v>
      </c>
      <c r="L10" s="12" t="n">
        <v>6831.46</v>
      </c>
      <c r="M10" s="12" t="n">
        <v>6872.41</v>
      </c>
      <c r="N10" s="12" t="n">
        <v>40.95</v>
      </c>
      <c r="O10" s="13" t="n">
        <v>0.00599432624944009</v>
      </c>
    </row>
    <row r="11">
      <c r="A11" s="5" t="n">
        <v>46271</v>
      </c>
      <c r="B11" s="6" t="n">
        <v>0.5805092592592592</v>
      </c>
      <c r="C11" s="22" t="inlineStr">
        <is>
          <t>Emlak Katılım</t>
        </is>
      </c>
      <c r="D11" s="8" t="n">
        <v>47.7363</v>
      </c>
      <c r="E11" s="8" t="n">
        <v>49.7207</v>
      </c>
      <c r="F11" s="8" t="n">
        <v>1.9844</v>
      </c>
      <c r="G11" s="9" t="n">
        <v>0.04157004208537319</v>
      </c>
      <c r="H11" s="10" t="n">
        <v>55.3525</v>
      </c>
      <c r="I11" s="10" t="n">
        <v>57.4905</v>
      </c>
      <c r="J11" s="10" t="n">
        <v>2.138</v>
      </c>
      <c r="K11" s="11" t="n">
        <v>0.03862517501467865</v>
      </c>
      <c r="L11" s="12" t="n">
        <v>5805.24</v>
      </c>
      <c r="M11" s="12" t="n">
        <v>7573.29</v>
      </c>
      <c r="N11" s="12" t="n">
        <v>1768.05</v>
      </c>
      <c r="O11" s="13" t="n">
        <v>0.304561051739463</v>
      </c>
    </row>
    <row r="12">
      <c r="A12" s="5" t="n">
        <v>46271</v>
      </c>
      <c r="B12" s="6" t="n">
        <v>0.5805092592592592</v>
      </c>
      <c r="C12" s="23" t="inlineStr">
        <is>
          <t>Enpara</t>
        </is>
      </c>
      <c r="D12" s="8" t="n">
        <v>47.5925</v>
      </c>
      <c r="E12" s="8" t="n">
        <v>49.2925</v>
      </c>
      <c r="F12" s="8" t="n">
        <v>1.7</v>
      </c>
      <c r="G12" s="9" t="n">
        <v>0.03571991385197248</v>
      </c>
      <c r="H12" s="10" t="n">
        <v>54.9928</v>
      </c>
      <c r="I12" s="10" t="n">
        <v>57.5346</v>
      </c>
      <c r="J12" s="10" t="n">
        <v>2.5418</v>
      </c>
      <c r="K12" s="11" t="n">
        <v>0.04622059615076883</v>
      </c>
      <c r="L12" s="12" t="n">
        <v>6707.38</v>
      </c>
      <c r="M12" s="12" t="n">
        <v>7104.13</v>
      </c>
      <c r="N12" s="12" t="n">
        <v>396.75</v>
      </c>
      <c r="O12" s="13" t="n">
        <v>0.05915126323542128</v>
      </c>
    </row>
    <row r="13">
      <c r="A13" s="5" t="n">
        <v>46271</v>
      </c>
      <c r="B13" s="6" t="n">
        <v>0.5805092592592592</v>
      </c>
      <c r="C13" s="24" t="inlineStr">
        <is>
          <t>Fibabanka</t>
        </is>
      </c>
      <c r="D13" s="8" t="n">
        <v>46.9293</v>
      </c>
      <c r="E13" s="8" t="n">
        <v>49.9896</v>
      </c>
      <c r="F13" s="8" t="n">
        <v>3.0603</v>
      </c>
      <c r="G13" s="9" t="n">
        <v>0.06521085974007709</v>
      </c>
      <c r="H13" s="10" t="n">
        <v>54.2441</v>
      </c>
      <c r="I13" s="10" t="n">
        <v>58.4498</v>
      </c>
      <c r="J13" s="10" t="n">
        <v>4.2057</v>
      </c>
      <c r="K13" s="11" t="n">
        <v>0.0775328561078532</v>
      </c>
      <c r="L13" s="12" t="n">
        <v>6611.27</v>
      </c>
      <c r="M13" s="12" t="n">
        <v>7337.41</v>
      </c>
      <c r="N13" s="12" t="n">
        <v>726.14</v>
      </c>
      <c r="O13" s="13" t="n">
        <v>0.1098336628212129</v>
      </c>
    </row>
    <row r="14">
      <c r="A14" s="5" t="n">
        <v>46271</v>
      </c>
      <c r="B14" s="6" t="n">
        <v>0.5805092592592592</v>
      </c>
      <c r="C14" s="25" t="inlineStr">
        <is>
          <t>Garanti BBVA</t>
        </is>
      </c>
      <c r="D14" s="8" t="n">
        <v>47.165</v>
      </c>
      <c r="E14" s="8" t="n">
        <v>49.165</v>
      </c>
      <c r="F14" s="8" t="n">
        <v>2</v>
      </c>
      <c r="G14" s="9" t="n">
        <v>0.0424043252411746</v>
      </c>
      <c r="H14" s="10" t="n">
        <v>54.763</v>
      </c>
      <c r="I14" s="10" t="n">
        <v>57.085</v>
      </c>
      <c r="J14" s="10" t="n">
        <v>2.322</v>
      </c>
      <c r="K14" s="11" t="n">
        <v>0.04240089111261253</v>
      </c>
      <c r="L14" s="12" t="n">
        <v>6645.08</v>
      </c>
      <c r="M14" s="12" t="n">
        <v>7114.71</v>
      </c>
      <c r="N14" s="12" t="n">
        <v>469.63</v>
      </c>
      <c r="O14" s="13" t="n">
        <v>0.07067334027581308</v>
      </c>
    </row>
    <row r="15">
      <c r="A15" s="5" t="n">
        <v>46271</v>
      </c>
      <c r="B15" s="6" t="n">
        <v>0.5805092592592592</v>
      </c>
      <c r="C15" s="26" t="inlineStr">
        <is>
          <t>Getirfinans</t>
        </is>
      </c>
      <c r="D15" s="8" t="n">
        <v>46.9293</v>
      </c>
      <c r="E15" s="8" t="n">
        <v>49.9896</v>
      </c>
      <c r="F15" s="8" t="n">
        <v>3.0603</v>
      </c>
      <c r="G15" s="9" t="n">
        <v>0.06521085974007709</v>
      </c>
      <c r="H15" s="10" t="n">
        <v>54.2441</v>
      </c>
      <c r="I15" s="10" t="n">
        <v>58.4498</v>
      </c>
      <c r="J15" s="10" t="n">
        <v>4.2057</v>
      </c>
      <c r="K15" s="11" t="n">
        <v>0.0775328561078532</v>
      </c>
      <c r="L15" s="12" t="n">
        <v>6611.27</v>
      </c>
      <c r="M15" s="12" t="n">
        <v>7337.4</v>
      </c>
      <c r="N15" s="12" t="n">
        <v>726.13</v>
      </c>
      <c r="O15" s="13" t="n">
        <v>0.1098321502525234</v>
      </c>
    </row>
    <row r="16">
      <c r="A16" s="5" t="n">
        <v>46271</v>
      </c>
      <c r="B16" s="6" t="n">
        <v>0.5805092592592592</v>
      </c>
      <c r="C16" s="27" t="inlineStr">
        <is>
          <t>Halkbank</t>
        </is>
      </c>
      <c r="D16" s="8" t="n">
        <v>47.1623</v>
      </c>
      <c r="E16" s="8" t="n">
        <v>49.8623</v>
      </c>
      <c r="F16" s="8" t="n">
        <v>2.7</v>
      </c>
      <c r="G16" s="9" t="n">
        <v>0.05724911634928746</v>
      </c>
      <c r="H16" s="10" t="n">
        <v>54.8025</v>
      </c>
      <c r="I16" s="10" t="n">
        <v>57.9399</v>
      </c>
      <c r="J16" s="10" t="n">
        <v>3.1374</v>
      </c>
      <c r="K16" s="11" t="n">
        <v>0.05724921308334473</v>
      </c>
      <c r="L16" s="12" t="n">
        <v>6527.6</v>
      </c>
      <c r="M16" s="12" t="n">
        <v>7423.1</v>
      </c>
      <c r="N16" s="12" t="n">
        <v>895.5</v>
      </c>
      <c r="O16" s="13" t="n">
        <v>0.1371867148722348</v>
      </c>
    </row>
    <row r="17">
      <c r="A17" s="5" t="n">
        <v>46271</v>
      </c>
      <c r="B17" s="6" t="n">
        <v>0.5805092592592592</v>
      </c>
      <c r="C17" s="28" t="inlineStr">
        <is>
          <t>Harem</t>
        </is>
      </c>
      <c r="D17" s="8" t="n">
        <v>48.213</v>
      </c>
      <c r="E17" s="8" t="n">
        <v>48.323</v>
      </c>
      <c r="F17" s="8" t="n">
        <v>0.11</v>
      </c>
      <c r="G17" s="9" t="n">
        <v>0.002281542322610085</v>
      </c>
      <c r="H17" s="10" t="n">
        <v>55.842</v>
      </c>
      <c r="I17" s="10" t="n">
        <v>56.072</v>
      </c>
      <c r="J17" s="10" t="n">
        <v>0.23</v>
      </c>
      <c r="K17" s="11" t="n">
        <v>0.004118763654596898</v>
      </c>
      <c r="L17" s="12" t="n">
        <v>6796.95</v>
      </c>
      <c r="M17" s="12" t="n">
        <v>6888.68</v>
      </c>
      <c r="N17" s="12" t="n">
        <v>91.73</v>
      </c>
      <c r="O17" s="13" t="n">
        <v>0.01349575912725561</v>
      </c>
    </row>
    <row r="18">
      <c r="A18" s="5" t="n">
        <v>46271</v>
      </c>
      <c r="B18" s="6" t="n">
        <v>0.5805092592592592</v>
      </c>
      <c r="C18" s="29" t="inlineStr">
        <is>
          <t>Hayat Finans</t>
        </is>
      </c>
      <c r="D18" s="8" t="n">
        <v>47.8264</v>
      </c>
      <c r="E18" s="8" t="n">
        <v>48.4542</v>
      </c>
      <c r="F18" s="8" t="n">
        <v>0.6278</v>
      </c>
      <c r="G18" s="9" t="n">
        <v>0.01312664135289296</v>
      </c>
      <c r="H18" s="10" t="n">
        <v>55.6568</v>
      </c>
      <c r="I18" s="10" t="n">
        <v>56.2917</v>
      </c>
      <c r="J18" s="10" t="n">
        <v>0.6349</v>
      </c>
      <c r="K18" s="11" t="n">
        <v>0.01140741113394949</v>
      </c>
      <c r="L18" s="12" t="n">
        <v>6827.3</v>
      </c>
      <c r="M18" s="12" t="n">
        <v>6969.05</v>
      </c>
      <c r="N18" s="12" t="n">
        <v>141.75</v>
      </c>
      <c r="O18" s="13" t="n">
        <v>0.0207622339724342</v>
      </c>
    </row>
    <row r="19">
      <c r="A19" s="5" t="n">
        <v>46271</v>
      </c>
      <c r="B19" s="6" t="n">
        <v>0.5805092592592592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6834.62</v>
      </c>
      <c r="M19" s="12" t="n">
        <v>7034.06</v>
      </c>
      <c r="N19" s="12" t="n">
        <v>199.44</v>
      </c>
      <c r="O19" s="13" t="n">
        <v>0.02918084692345734</v>
      </c>
    </row>
    <row r="20">
      <c r="A20" s="5" t="n">
        <v>46271</v>
      </c>
      <c r="B20" s="6" t="n">
        <v>0.5805092592592592</v>
      </c>
      <c r="C20" s="31" t="inlineStr">
        <is>
          <t>HSBC</t>
        </is>
      </c>
      <c r="D20" s="8" t="n">
        <v>47.5991</v>
      </c>
      <c r="E20" s="8" t="n">
        <v>49.5206</v>
      </c>
      <c r="F20" s="8" t="n">
        <v>1.9215</v>
      </c>
      <c r="G20" s="9" t="n">
        <v>0.04036841032708602</v>
      </c>
      <c r="H20" s="10" t="n">
        <v>54.8418</v>
      </c>
      <c r="I20" s="10" t="n">
        <v>57.9922</v>
      </c>
      <c r="J20" s="10" t="n">
        <v>3.1504</v>
      </c>
      <c r="K20" s="11" t="n">
        <v>0.05744523338037774</v>
      </c>
      <c r="L20" s="12" t="n">
        <v>6717.61</v>
      </c>
      <c r="M20" s="12" t="n">
        <v>7370.64</v>
      </c>
      <c r="N20" s="12" t="n">
        <v>653.03</v>
      </c>
      <c r="O20" s="13" t="n">
        <v>0.09721165712210146</v>
      </c>
    </row>
    <row r="21">
      <c r="A21" s="5" t="n">
        <v>46271</v>
      </c>
      <c r="B21" s="6" t="n">
        <v>0.5805092592592592</v>
      </c>
      <c r="C21" s="32" t="inlineStr">
        <is>
          <t>ING Bank</t>
        </is>
      </c>
      <c r="D21" s="8" t="n">
        <v>47.2028</v>
      </c>
      <c r="E21" s="8" t="n">
        <v>49.4795</v>
      </c>
      <c r="F21" s="8" t="n">
        <v>2.2767</v>
      </c>
      <c r="G21" s="9" t="n">
        <v>0.04823230825290025</v>
      </c>
      <c r="H21" s="10" t="n">
        <v>54.8132</v>
      </c>
      <c r="I21" s="10" t="n">
        <v>57.4618</v>
      </c>
      <c r="J21" s="10" t="n">
        <v>2.6486</v>
      </c>
      <c r="K21" s="11" t="n">
        <v>0.04832047754920347</v>
      </c>
      <c r="L21" s="12" t="n">
        <v>6662.76</v>
      </c>
      <c r="M21" s="12" t="n">
        <v>7078.51</v>
      </c>
      <c r="N21" s="12" t="n">
        <v>415.75</v>
      </c>
      <c r="O21" s="13" t="n">
        <v>0.06239906585258961</v>
      </c>
    </row>
    <row r="22">
      <c r="A22" s="5" t="n">
        <v>46271</v>
      </c>
      <c r="B22" s="6" t="n">
        <v>0.5805092592592592</v>
      </c>
      <c r="C22" s="33" t="inlineStr">
        <is>
          <t>İş Bankası</t>
        </is>
      </c>
      <c r="D22" s="8" t="n">
        <v>47.1425</v>
      </c>
      <c r="E22" s="8" t="n">
        <v>49.7585</v>
      </c>
      <c r="F22" s="8" t="n">
        <v>2.616</v>
      </c>
      <c r="G22" s="9" t="n">
        <v>0.05549132947976879</v>
      </c>
      <c r="H22" s="10" t="n">
        <v>54.7418</v>
      </c>
      <c r="I22" s="10" t="n">
        <v>57.7845</v>
      </c>
      <c r="J22" s="10" t="n">
        <v>3.0427</v>
      </c>
      <c r="K22" s="11" t="n">
        <v>0.05558275394670983</v>
      </c>
      <c r="L22" s="12" t="n">
        <v>6458.79</v>
      </c>
      <c r="M22" s="12" t="n">
        <v>7275.6</v>
      </c>
      <c r="N22" s="12" t="n">
        <v>816.8099999999999</v>
      </c>
      <c r="O22" s="13" t="n">
        <v>0.1264648641618631</v>
      </c>
    </row>
    <row r="23">
      <c r="A23" s="5" t="n">
        <v>46271</v>
      </c>
      <c r="B23" s="6" t="n">
        <v>0.5805092592592592</v>
      </c>
      <c r="C23" s="34" t="inlineStr">
        <is>
          <t>Kapalıçarşı</t>
        </is>
      </c>
      <c r="D23" s="8" t="n">
        <v>48.25</v>
      </c>
      <c r="E23" s="8" t="n">
        <v>48.26</v>
      </c>
      <c r="F23" s="8" t="n">
        <v>0.01</v>
      </c>
      <c r="G23" s="9" t="n">
        <v>0.0002072538860103627</v>
      </c>
      <c r="H23" s="10" t="n">
        <v>55.9</v>
      </c>
      <c r="I23" s="10" t="n">
        <v>55.95</v>
      </c>
      <c r="J23" s="10" t="n">
        <v>0.05</v>
      </c>
      <c r="K23" s="11" t="n">
        <v>0.0008944543828264759</v>
      </c>
      <c r="L23" s="12" t="n">
        <v>6818.04</v>
      </c>
      <c r="M23" s="12" t="n">
        <v>6829.15</v>
      </c>
      <c r="N23" s="12" t="n">
        <v>11.11</v>
      </c>
      <c r="O23" s="13" t="n">
        <v>0.001629500560278321</v>
      </c>
    </row>
    <row r="24">
      <c r="A24" s="5" t="n">
        <v>46271</v>
      </c>
      <c r="B24" s="6" t="n">
        <v>0.5805092592592592</v>
      </c>
      <c r="C24" s="35" t="inlineStr">
        <is>
          <t>Kuveyt Türk</t>
        </is>
      </c>
      <c r="D24" s="8" t="n">
        <v>44.8474</v>
      </c>
      <c r="E24" s="8" t="n">
        <v>49.3407</v>
      </c>
      <c r="F24" s="8" t="n">
        <v>4.4933</v>
      </c>
      <c r="G24" s="9" t="n">
        <v>0.1001908694818429</v>
      </c>
      <c r="H24" s="10" t="n">
        <v>52.0651</v>
      </c>
      <c r="I24" s="10" t="n">
        <v>57.325</v>
      </c>
      <c r="J24" s="10" t="n">
        <v>5.2599</v>
      </c>
      <c r="K24" s="11" t="n">
        <v>0.1010254469884817</v>
      </c>
      <c r="L24" s="12" t="n">
        <v>6435.95</v>
      </c>
      <c r="M24" s="12" t="n">
        <v>7063.67</v>
      </c>
      <c r="N24" s="12" t="n">
        <v>627.72</v>
      </c>
      <c r="O24" s="13" t="n">
        <v>0.09753338667951118</v>
      </c>
    </row>
    <row r="25">
      <c r="A25" s="5" t="n">
        <v>46271</v>
      </c>
      <c r="B25" s="6" t="n">
        <v>0.5805092592592592</v>
      </c>
      <c r="C25" s="36" t="inlineStr">
        <is>
          <t>Merkez Bankası</t>
        </is>
      </c>
      <c r="D25" s="8" t="n">
        <v>48.2326</v>
      </c>
      <c r="E25" s="8" t="n">
        <v>48.3195</v>
      </c>
      <c r="F25" s="8" t="n">
        <v>0.08690000000000001</v>
      </c>
      <c r="G25" s="9" t="n">
        <v>0.001801685996608103</v>
      </c>
      <c r="H25" s="10" t="n">
        <v>56.0571</v>
      </c>
      <c r="I25" s="10" t="n">
        <v>56.1581</v>
      </c>
      <c r="J25" s="10" t="n">
        <v>0.101</v>
      </c>
      <c r="K25" s="11" t="n">
        <v>0.001801734303058845</v>
      </c>
      <c r="L25" s="12" t="n"/>
      <c r="M25" s="12" t="n"/>
      <c r="N25" s="12" t="n"/>
      <c r="O25" s="13" t="n"/>
    </row>
    <row r="26">
      <c r="A26" s="5" t="n">
        <v>46271</v>
      </c>
      <c r="B26" s="6" t="n">
        <v>0.5805092592592592</v>
      </c>
      <c r="C26" s="37" t="inlineStr">
        <is>
          <t>Misyon Bank</t>
        </is>
      </c>
      <c r="D26" s="8" t="n">
        <v>48.0452</v>
      </c>
      <c r="E26" s="8" t="n">
        <v>48.482</v>
      </c>
      <c r="F26" s="8" t="n">
        <v>0.4368</v>
      </c>
      <c r="G26" s="9" t="n">
        <v>0.009091438895040504</v>
      </c>
      <c r="H26" s="10" t="n">
        <v>55.9066</v>
      </c>
      <c r="I26" s="10" t="n">
        <v>56.3121</v>
      </c>
      <c r="J26" s="10" t="n">
        <v>0.4055</v>
      </c>
      <c r="K26" s="11" t="n">
        <v>0.007253168677758976</v>
      </c>
      <c r="L26" s="12" t="n">
        <v>6796.19</v>
      </c>
      <c r="M26" s="12" t="n">
        <v>6876.58</v>
      </c>
      <c r="N26" s="12" t="n">
        <v>80.39</v>
      </c>
      <c r="O26" s="13" t="n">
        <v>0.01182868636692029</v>
      </c>
    </row>
    <row r="27">
      <c r="A27" s="5" t="n">
        <v>46271</v>
      </c>
      <c r="B27" s="6" t="n">
        <v>0.5805092592592592</v>
      </c>
      <c r="C27" s="38" t="inlineStr">
        <is>
          <t>Odacı</t>
        </is>
      </c>
      <c r="D27" s="8" t="n">
        <v>48.239</v>
      </c>
      <c r="E27" s="8" t="n">
        <v>48.382</v>
      </c>
      <c r="F27" s="8" t="n">
        <v>0.143</v>
      </c>
      <c r="G27" s="9" t="n">
        <v>0.002964406393167354</v>
      </c>
      <c r="H27" s="10" t="n">
        <v>55.851</v>
      </c>
      <c r="I27" s="10" t="n">
        <v>56.093</v>
      </c>
      <c r="J27" s="10" t="n">
        <v>0.242</v>
      </c>
      <c r="K27" s="11" t="n">
        <v>0.004332957332903619</v>
      </c>
      <c r="L27" s="12" t="n">
        <v>6813</v>
      </c>
      <c r="M27" s="12" t="n">
        <v>6879</v>
      </c>
      <c r="N27" s="12" t="n">
        <v>66</v>
      </c>
      <c r="O27" s="13" t="n">
        <v>0.009687362395420521</v>
      </c>
    </row>
    <row r="28">
      <c r="A28" s="5" t="n">
        <v>46271</v>
      </c>
      <c r="B28" s="6" t="n">
        <v>0.5805092592592592</v>
      </c>
      <c r="C28" s="39" t="inlineStr">
        <is>
          <t>Odeabank</t>
        </is>
      </c>
      <c r="D28" s="8" t="n">
        <v>47.3765</v>
      </c>
      <c r="E28" s="8" t="n">
        <v>49.1765</v>
      </c>
      <c r="F28" s="8" t="n">
        <v>1.8</v>
      </c>
      <c r="G28" s="9" t="n">
        <v>0.0379935199940899</v>
      </c>
      <c r="H28" s="10" t="n">
        <v>54.987</v>
      </c>
      <c r="I28" s="10" t="n">
        <v>57.127</v>
      </c>
      <c r="J28" s="10" t="n">
        <v>2.14</v>
      </c>
      <c r="K28" s="11" t="n">
        <v>0.0389182897775838</v>
      </c>
      <c r="L28" s="12" t="n">
        <v>6700.83</v>
      </c>
      <c r="M28" s="12" t="n">
        <v>7050.83</v>
      </c>
      <c r="N28" s="12" t="n">
        <v>350</v>
      </c>
      <c r="O28" s="13" t="n">
        <v>0.05223233539725676</v>
      </c>
    </row>
    <row r="29">
      <c r="A29" s="5" t="n">
        <v>46271</v>
      </c>
      <c r="B29" s="6" t="n">
        <v>0.5805092592592592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6834.62</v>
      </c>
      <c r="M29" s="12" t="n">
        <v>7020.02</v>
      </c>
      <c r="N29" s="12" t="n">
        <v>185.4</v>
      </c>
      <c r="O29" s="13" t="n">
        <v>0.02712659957686016</v>
      </c>
    </row>
    <row r="30">
      <c r="A30" s="5" t="n">
        <v>46271</v>
      </c>
      <c r="B30" s="6" t="n">
        <v>0.5805092592592592</v>
      </c>
      <c r="C30" s="41" t="inlineStr">
        <is>
          <t>QNB Finansbank</t>
        </is>
      </c>
      <c r="D30" s="8" t="n">
        <v>46.9325</v>
      </c>
      <c r="E30" s="8" t="n">
        <v>49.9525</v>
      </c>
      <c r="F30" s="8" t="n">
        <v>3.02</v>
      </c>
      <c r="G30" s="9" t="n">
        <v>0.06434773344697171</v>
      </c>
      <c r="H30" s="10" t="n">
        <v>53.9523</v>
      </c>
      <c r="I30" s="10" t="n">
        <v>58.6008</v>
      </c>
      <c r="J30" s="10" t="n">
        <v>4.6485</v>
      </c>
      <c r="K30" s="11" t="n">
        <v>0.08615944083940814</v>
      </c>
      <c r="L30" s="12" t="n">
        <v>6553.72</v>
      </c>
      <c r="M30" s="12" t="n">
        <v>7184.14</v>
      </c>
      <c r="N30" s="12" t="n">
        <v>630.42</v>
      </c>
      <c r="O30" s="13" t="n">
        <v>0.09619269666693114</v>
      </c>
    </row>
    <row r="31">
      <c r="A31" s="5" t="n">
        <v>46271</v>
      </c>
      <c r="B31" s="6" t="n">
        <v>0.5805092592592592</v>
      </c>
      <c r="C31" s="42" t="inlineStr">
        <is>
          <t>TOM Bank Hadi</t>
        </is>
      </c>
      <c r="D31" s="8" t="n">
        <v>48.1293</v>
      </c>
      <c r="E31" s="8" t="n">
        <v>48.6741</v>
      </c>
      <c r="F31" s="8" t="n">
        <v>0.5448</v>
      </c>
      <c r="G31" s="9" t="n">
        <v>0.01131950807512264</v>
      </c>
      <c r="H31" s="10" t="n">
        <v>55.684</v>
      </c>
      <c r="I31" s="10" t="n">
        <v>56.5277</v>
      </c>
      <c r="J31" s="10" t="n">
        <v>0.8437</v>
      </c>
      <c r="K31" s="11" t="n">
        <v>0.0151515695711515</v>
      </c>
      <c r="L31" s="12" t="n">
        <v>6864.09</v>
      </c>
      <c r="M31" s="12" t="n">
        <v>7378.9</v>
      </c>
      <c r="N31" s="12" t="n">
        <v>514.8099999999999</v>
      </c>
      <c r="O31" s="13" t="n">
        <v>0.07500047347864029</v>
      </c>
    </row>
    <row r="32">
      <c r="A32" s="5" t="n">
        <v>46271</v>
      </c>
      <c r="B32" s="6" t="n">
        <v>0.5805092592592592</v>
      </c>
      <c r="C32" s="43" t="inlineStr">
        <is>
          <t>Türkiye Finans</t>
        </is>
      </c>
      <c r="D32" s="8" t="n">
        <v>47.7911</v>
      </c>
      <c r="E32" s="8" t="n">
        <v>48.7367</v>
      </c>
      <c r="F32" s="8" t="n">
        <v>0.9456</v>
      </c>
      <c r="G32" s="9" t="n">
        <v>0.01978611080305747</v>
      </c>
      <c r="H32" s="10" t="n">
        <v>55.532</v>
      </c>
      <c r="I32" s="10" t="n">
        <v>56.5537</v>
      </c>
      <c r="J32" s="10" t="n">
        <v>1.0217</v>
      </c>
      <c r="K32" s="11" t="n">
        <v>0.01839840092199092</v>
      </c>
      <c r="L32" s="12" t="n">
        <v>6763.3</v>
      </c>
      <c r="M32" s="12" t="n">
        <v>6980.72</v>
      </c>
      <c r="N32" s="12" t="n">
        <v>217.42</v>
      </c>
      <c r="O32" s="13" t="n">
        <v>0.03214702881729334</v>
      </c>
    </row>
    <row r="33">
      <c r="A33" s="5" t="n">
        <v>46271</v>
      </c>
      <c r="B33" s="6" t="n">
        <v>0.5805092592592592</v>
      </c>
      <c r="C33" s="44" t="inlineStr">
        <is>
          <t>Vakıf Katılım</t>
        </is>
      </c>
      <c r="D33" s="8" t="n">
        <v>47.9608</v>
      </c>
      <c r="E33" s="8" t="n">
        <v>48.5704</v>
      </c>
      <c r="F33" s="8" t="n">
        <v>0.6096</v>
      </c>
      <c r="G33" s="9" t="n">
        <v>0.01271038014378409</v>
      </c>
      <c r="H33" s="10" t="n">
        <v>55.6608</v>
      </c>
      <c r="I33" s="10" t="n">
        <v>56.3368</v>
      </c>
      <c r="J33" s="10" t="n">
        <v>0.676</v>
      </c>
      <c r="K33" s="11" t="n">
        <v>0.01214499252615845</v>
      </c>
      <c r="L33" s="12" t="n">
        <v>6758.27</v>
      </c>
      <c r="M33" s="12" t="n">
        <v>6922.44</v>
      </c>
      <c r="N33" s="12" t="n">
        <v>164.17</v>
      </c>
      <c r="O33" s="13" t="n">
        <v>0.02429171962647246</v>
      </c>
    </row>
    <row r="34">
      <c r="A34" s="5" t="n">
        <v>46271</v>
      </c>
      <c r="B34" s="6" t="n">
        <v>0.5805092592592592</v>
      </c>
      <c r="C34" s="45" t="inlineStr">
        <is>
          <t>Vakıfbank</t>
        </is>
      </c>
      <c r="D34" s="8" t="n">
        <v>47.0674</v>
      </c>
      <c r="E34" s="8" t="n">
        <v>49.8524</v>
      </c>
      <c r="F34" s="8" t="n">
        <v>2.785</v>
      </c>
      <c r="G34" s="9" t="n">
        <v>0.05917046618253823</v>
      </c>
      <c r="H34" s="10" t="n">
        <v>54.591</v>
      </c>
      <c r="I34" s="10" t="n">
        <v>57.749</v>
      </c>
      <c r="J34" s="10" t="n">
        <v>3.158</v>
      </c>
      <c r="K34" s="11" t="n">
        <v>0.05784836328332509</v>
      </c>
      <c r="L34" s="12" t="n">
        <v>6551.45</v>
      </c>
      <c r="M34" s="12" t="n">
        <v>7449.45</v>
      </c>
      <c r="N34" s="12" t="n">
        <v>898</v>
      </c>
      <c r="O34" s="13" t="n">
        <v>0.1370688931457922</v>
      </c>
    </row>
    <row r="35">
      <c r="A35" s="5" t="n">
        <v>46271</v>
      </c>
      <c r="B35" s="6" t="n">
        <v>0.5805092592592592</v>
      </c>
      <c r="C35" s="46" t="inlineStr">
        <is>
          <t>Venüs</t>
        </is>
      </c>
      <c r="D35" s="8" t="n">
        <v>48.227</v>
      </c>
      <c r="E35" s="8" t="n">
        <v>48.356</v>
      </c>
      <c r="F35" s="8" t="n">
        <v>0.129</v>
      </c>
      <c r="G35" s="9" t="n">
        <v>0.002674850187654218</v>
      </c>
      <c r="H35" s="10" t="n">
        <v>55.871</v>
      </c>
      <c r="I35" s="10" t="n">
        <v>56.107</v>
      </c>
      <c r="J35" s="10" t="n">
        <v>0.236</v>
      </c>
      <c r="K35" s="11" t="n">
        <v>0.004224016036942242</v>
      </c>
      <c r="L35" s="12" t="n"/>
      <c r="M35" s="12" t="n"/>
      <c r="N35" s="12" t="n"/>
      <c r="O35" s="13" t="n"/>
    </row>
    <row r="36">
      <c r="A36" s="5" t="n">
        <v>46271</v>
      </c>
      <c r="B36" s="6" t="n">
        <v>0.5805092592592592</v>
      </c>
      <c r="C36" s="47" t="inlineStr">
        <is>
          <t>Yapıkredi</t>
        </is>
      </c>
      <c r="D36" s="8" t="n">
        <v>46.98</v>
      </c>
      <c r="E36" s="8" t="n">
        <v>49.5</v>
      </c>
      <c r="F36" s="8" t="n">
        <v>2.52</v>
      </c>
      <c r="G36" s="9" t="n">
        <v>0.05363984674329502</v>
      </c>
      <c r="H36" s="10" t="n">
        <v>54.72</v>
      </c>
      <c r="I36" s="10" t="n">
        <v>57.33</v>
      </c>
      <c r="J36" s="10" t="n">
        <v>2.61</v>
      </c>
      <c r="K36" s="11" t="n">
        <v>0.04769736842105263</v>
      </c>
      <c r="L36" s="12" t="n">
        <v>6649.22</v>
      </c>
      <c r="M36" s="12" t="n">
        <v>7157.39</v>
      </c>
      <c r="N36" s="12" t="n">
        <v>508.17</v>
      </c>
      <c r="O36" s="13" t="n">
        <v>0.07642550554801916</v>
      </c>
    </row>
    <row r="37">
      <c r="A37" s="5" t="n">
        <v>46271</v>
      </c>
      <c r="B37" s="6" t="n">
        <v>0.5805092592592592</v>
      </c>
      <c r="C37" s="48" t="inlineStr">
        <is>
          <t>Ziraat Bankası</t>
        </is>
      </c>
      <c r="D37" s="8" t="n">
        <v>47.0106</v>
      </c>
      <c r="E37" s="8" t="n">
        <v>49.8725</v>
      </c>
      <c r="F37" s="8" t="n">
        <v>2.8619</v>
      </c>
      <c r="G37" s="9" t="n">
        <v>0.06087775948403126</v>
      </c>
      <c r="H37" s="10" t="n">
        <v>54.5954</v>
      </c>
      <c r="I37" s="10" t="n">
        <v>57.919</v>
      </c>
      <c r="J37" s="10" t="n">
        <v>3.3236</v>
      </c>
      <c r="K37" s="11" t="n">
        <v>0.06087692369686823</v>
      </c>
      <c r="L37" s="12" t="n">
        <v>6616.52</v>
      </c>
      <c r="M37" s="12" t="n">
        <v>7573.86</v>
      </c>
      <c r="N37" s="12" t="n">
        <v>957.34</v>
      </c>
      <c r="O37" s="13" t="n">
        <v>0.1446893533156403</v>
      </c>
    </row>
    <row r="38">
      <c r="A38" s="5" t="n">
        <v>46271</v>
      </c>
      <c r="B38" s="6" t="n">
        <v>0.5805092592592592</v>
      </c>
      <c r="C38" s="49" t="inlineStr">
        <is>
          <t>Ziraat Dinamik</t>
        </is>
      </c>
      <c r="D38" s="8" t="n">
        <v>47.0576</v>
      </c>
      <c r="E38" s="8" t="n">
        <v>49.5982</v>
      </c>
      <c r="F38" s="8" t="n">
        <v>2.5406</v>
      </c>
      <c r="G38" s="9" t="n">
        <v>0.05398915371799667</v>
      </c>
      <c r="H38" s="10" t="n">
        <v>54.5954</v>
      </c>
      <c r="I38" s="10" t="n">
        <v>57.6004</v>
      </c>
      <c r="J38" s="10" t="n">
        <v>3.005</v>
      </c>
      <c r="K38" s="11" t="n">
        <v>0.05504126721298864</v>
      </c>
      <c r="L38" s="12" t="n">
        <v>6583.44</v>
      </c>
      <c r="M38" s="12" t="n">
        <v>7535.99</v>
      </c>
      <c r="N38" s="12" t="n">
        <v>952.55</v>
      </c>
      <c r="O38" s="13" t="n">
        <v>0.1446887949157279</v>
      </c>
    </row>
    <row r="39">
      <c r="A39" s="5" t="n">
        <v>46271</v>
      </c>
      <c r="B39" s="6" t="n">
        <v>0.5805092592592592</v>
      </c>
      <c r="C39" s="50" t="inlineStr">
        <is>
          <t>Ziraat Katılım</t>
        </is>
      </c>
      <c r="D39" s="8" t="n">
        <v>43.1206</v>
      </c>
      <c r="E39" s="8" t="n">
        <v>53.8029</v>
      </c>
      <c r="F39" s="8" t="n">
        <v>10.6823</v>
      </c>
      <c r="G39" s="9" t="n">
        <v>0.2477307829668418</v>
      </c>
      <c r="H39" s="10" t="n">
        <v>50.0454</v>
      </c>
      <c r="I39" s="10" t="n">
        <v>62.5049</v>
      </c>
      <c r="J39" s="10" t="n">
        <v>12.4595</v>
      </c>
      <c r="K39" s="11" t="n">
        <v>0.2489639407418064</v>
      </c>
      <c r="L39" s="12" t="n">
        <v>6131.92</v>
      </c>
      <c r="M39" s="12" t="n">
        <v>7732.64</v>
      </c>
      <c r="N39" s="12" t="n">
        <v>1600.72</v>
      </c>
      <c r="O39" s="13" t="n">
        <v>0.2610471108559799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</hyperlinks>
  <pageMargins left="0.75" right="0.75" top="1" bottom="1" header="0.5" footer="0.5"/>
  <tableParts count="1">
    <tablePart xmlns:r="http://schemas.openxmlformats.org/officeDocument/2006/relationships" r:id="rId10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46271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0.5805092592592592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0.0424043252411746</v>
      </c>
      <c r="O5" s="65" t="inlineStr">
        <is>
          <t>Garanti BBVA</t>
        </is>
      </c>
      <c r="P5" s="71" t="n">
        <v>47.165</v>
      </c>
      <c r="Q5" s="71" t="n">
        <v>49.165</v>
      </c>
    </row>
    <row r="6">
      <c r="A6" s="61" t="inlineStr">
        <is>
          <t>Sağlayıcı sayısı</t>
        </is>
      </c>
      <c r="B6" s="62" t="n"/>
      <c r="C6" s="72" t="n">
        <v>38</v>
      </c>
      <c r="D6" s="62" t="n"/>
      <c r="F6" s="62" t="inlineStr">
        <is>
          <t>Ağustos 2026</t>
        </is>
      </c>
      <c r="G6" s="73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4" t="inlineStr">
        <is>
          <t>EURO</t>
        </is>
      </c>
      <c r="M6" s="62" t="n">
        <v>5</v>
      </c>
      <c r="N6" s="70" t="n">
        <v>0.04240089111261253</v>
      </c>
      <c r="O6" s="65" t="inlineStr">
        <is>
          <t>Garanti BBVA</t>
        </is>
      </c>
      <c r="P6" s="71" t="n">
        <v>54.763</v>
      </c>
      <c r="Q6" s="71" t="n">
        <v>57.085</v>
      </c>
    </row>
    <row r="7">
      <c r="A7" s="61" t="inlineStr">
        <is>
          <t>Ürün kaydı</t>
        </is>
      </c>
      <c r="B7" s="62" t="n"/>
      <c r="C7" s="72" t="n">
        <v>108</v>
      </c>
      <c r="D7" s="62" t="n"/>
      <c r="F7" s="62" t="inlineStr">
        <is>
          <t>Ağustos 2026</t>
        </is>
      </c>
      <c r="G7" s="75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0.07067334027581308</v>
      </c>
      <c r="O7" s="65" t="inlineStr">
        <is>
          <t>Garanti BBVA</t>
        </is>
      </c>
      <c r="P7" s="71" t="n">
        <v>6645.08</v>
      </c>
      <c r="Q7" s="71" t="n">
        <v>7114.71</v>
      </c>
    </row>
    <row r="8">
      <c r="A8" s="61" t="inlineStr">
        <is>
          <t>Hatalı kayıt</t>
        </is>
      </c>
      <c r="B8" s="62" t="n"/>
      <c r="C8" s="72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2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0.03309911326579967</v>
      </c>
      <c r="I10" s="67" t="n">
        <v>0.03309811925360681</v>
      </c>
      <c r="J10" s="68" t="n">
        <v>0.04818566864414191</v>
      </c>
    </row>
    <row r="11">
      <c r="F11" s="62" t="inlineStr">
        <is>
          <t>Eylül 2026</t>
        </is>
      </c>
      <c r="G11" s="73" t="inlineStr">
        <is>
          <t>Akbank</t>
        </is>
      </c>
      <c r="H11" s="66" t="n">
        <v>0.03811369906185476</v>
      </c>
      <c r="I11" s="67" t="n">
        <v>0.03820454104389736</v>
      </c>
      <c r="J11" s="68" t="n">
        <v>0.05237786157087044</v>
      </c>
    </row>
    <row r="12">
      <c r="F12" s="62" t="inlineStr">
        <is>
          <t>Eylül 2026</t>
        </is>
      </c>
      <c r="G12" s="75" t="inlineStr">
        <is>
          <t>Yapıkredi</t>
        </is>
      </c>
      <c r="H12" s="66" t="n">
        <v>0.03124174511791733</v>
      </c>
      <c r="I12" s="67" t="n">
        <v>0.02892802793142863</v>
      </c>
      <c r="J12" s="68" t="n">
        <v>0.04501494476664027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0.03377960580563458</v>
      </c>
      <c r="I13" s="67" t="n">
        <v>0.03377950971389219</v>
      </c>
      <c r="J13" s="68" t="n">
        <v>0.06169082216280359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0.03465647216446921</v>
      </c>
      <c r="I14" s="67" t="n">
        <v>0.03480263903213252</v>
      </c>
      <c r="J14" s="68" t="n">
        <v>0.06043817263451366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0.03309911326579967</v>
      </c>
      <c r="V3" s="55" t="n">
        <v>0.03811369906185476</v>
      </c>
      <c r="W3" s="55" t="n">
        <v>0.03124174511791733</v>
      </c>
      <c r="X3" s="55" t="n">
        <v>0.03377960580563458</v>
      </c>
      <c r="Y3" s="55" t="n">
        <v>0.03465647216446921</v>
      </c>
      <c r="Z3" s="55" t="n">
        <v>0.03309811925360681</v>
      </c>
      <c r="AA3" s="55" t="n">
        <v>0.03820454104389736</v>
      </c>
      <c r="AB3" s="55" t="n">
        <v>0.02892802793142863</v>
      </c>
      <c r="AC3" s="55" t="n">
        <v>0.03377950971389219</v>
      </c>
      <c r="AD3" s="55" t="n">
        <v>0.03480263903213252</v>
      </c>
      <c r="AE3" s="55" t="n">
        <v>0.04818566864414191</v>
      </c>
      <c r="AF3" s="55" t="n">
        <v>0.05237786157087044</v>
      </c>
      <c r="AG3" s="55" t="n">
        <v>0.04501494476664027</v>
      </c>
      <c r="AH3" s="55" t="n">
        <v>0.06169082216280359</v>
      </c>
      <c r="AI3" s="55" t="n">
        <v>0.06043817263451366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2026-09-06T10:56:49Z</dcterms:created>
  <dcterms:modified xsi:type="dcterms:W3CDTF">2026-09-06T10:56:49Z</dcterms:modified>
</cp:coreProperties>
</file>