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'GRAFIK_VERILERI'!$B$2:$B$12</f>
              <numCache>
                <formatCode>0.00%</formatCode>
                <ptCount val="1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'GRAFIK_VERILERI'!$C$2:$C$12</f>
              <numCache>
                <formatCode>0.00%</formatCode>
                <ptCount val="1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'GRAFIK_VERILERI'!$D$2:$D$12</f>
              <numCache>
                <formatCode>0.00%</formatCode>
                <ptCount val="1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'GRAFIK_VERILERI'!$E$2:$E$12</f>
              <numCache>
                <formatCode>0.00%</formatCode>
                <ptCount val="1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'GRAFIK_VERILERI'!$F$2:$F$12</f>
              <numCache>
                <formatCode>0.00%</formatCode>
                <ptCount val="1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'GRAFIK_VERILERI'!$G$2:$G$12</f>
              <numCache>
                <formatCode>0.00%</formatCode>
                <ptCount val="1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'GRAFIK_VERILERI'!$H$2:$H$12</f>
              <numCache>
                <formatCode>0.00%</formatCode>
                <ptCount val="1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'GRAFIK_VERILERI'!$I$2:$I$12</f>
              <numCache>
                <formatCode>0.00%</formatCode>
                <ptCount val="1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'GRAFIK_VERILERI'!$J$2:$J$12</f>
              <numCache>
                <formatCode>0.00%</formatCode>
                <ptCount val="1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'GRAFIK_VERILERI'!$K$2:$K$12</f>
              <numCache>
                <formatCode>0.00%</formatCode>
                <ptCount val="1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'GRAFIK_VERILERI'!$L$2:$L$12</f>
              <numCache>
                <formatCode>0.00%</formatCode>
                <ptCount val="1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'GRAFIK_VERILERI'!$M$2:$M$12</f>
              <numCache>
                <formatCode>0.00%</formatCode>
                <ptCount val="1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'GRAFIK_VERILERI'!$N$2:$N$12</f>
              <numCache>
                <formatCode>0.00%</formatCode>
                <ptCount val="1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'GRAFIK_VERILERI'!$O$2:$O$12</f>
              <numCache>
                <formatCode>0.00%</formatCode>
                <ptCount val="1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'GRAFIK_VERILERI'!$P$2:$P$12</f>
              <numCache>
                <formatCode>0.00%</formatCode>
                <ptCount val="1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0.03242314052146741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0.03671735863556674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0.02976790719849226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0.03184407911782289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0.03316460242321718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8344661190935"/>
          <min val="0.0270919672750030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0.03242200685531445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0.03680803771653119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0.02772664658855561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0.03184371784113015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0.03330223806909207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0707713912297"/>
          <min val="0.0241683295602207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0.04657684058752942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0.05004450591930092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0.04290902368088835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0.05576236185197368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0.05573477786740539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471982043554"/>
          <min val="0.0340866530908709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'GRAFIK_VERILERI'!$B$2:$B$12</f>
              <numCache>
                <formatCode>0.00%</formatCode>
                <ptCount val="1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7516300308824"/>
          <min val="0.025532660897538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'GRAFIK_VERILERI'!$G$2:$G$12</f>
              <numCache>
                <formatCode>0.00%</formatCode>
                <ptCount val="1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232066588491"/>
          <min val="0.0255291677655061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'GRAFIK_VERILERI'!$L$2:$L$12</f>
              <numCache>
                <formatCode>0.00%</formatCode>
                <ptCount val="1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7727569634"/>
          <min val="0.0301682296942245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'GRAFIK_VERILERI'!$C$2:$C$12</f>
              <numCache>
                <formatCode>0.00%</formatCode>
                <ptCount val="1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2657398100176"/>
          <min val="0.0224581064273114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'GRAFIK_VERILERI'!$H$2:$H$12</f>
              <numCache>
                <formatCode>0.00%</formatCode>
                <ptCount val="1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'GRAFIK_VERILERI'!$M$2:$M$12</f>
              <numCache>
                <formatCode>0.00%</formatCode>
                <ptCount val="1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4833235621138"/>
          <min val="0.0262270452854958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'GRAFIK_VERILERI'!$D$2:$D$12</f>
              <numCache>
                <formatCode>0.00%</formatCode>
                <ptCount val="1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'GRAFIK_VERILERI'!$I$2:$I$12</f>
              <numCache>
                <formatCode>0.00%</formatCode>
                <ptCount val="1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'GRAFIK_VERILERI'!$N$2:$N$12</f>
              <numCache>
                <formatCode>0.00%</formatCode>
                <ptCount val="1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'GRAFIK_VERILERI'!$E$2:$E$12</f>
              <numCache>
                <formatCode>0.00%</formatCode>
                <ptCount val="1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'GRAFIK_VERILERI'!$J$2:$J$12</f>
              <numCache>
                <formatCode>0.00%</formatCode>
                <ptCount val="1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1158525659"/>
          <min val="0.01190375910777471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'GRAFIK_VERILERI'!$O$2:$O$12</f>
              <numCache>
                <formatCode>0.00%</formatCode>
                <ptCount val="1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'GRAFIK_VERILERI'!$F$2:$F$12</f>
              <numCache>
                <formatCode>0.00%</formatCode>
                <ptCount val="1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691858058153"/>
          <min val="0.017957794874892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'GRAFIK_VERILERI'!$K$2:$K$12</f>
              <numCache>
                <formatCode>0.00%</formatCode>
                <ptCount val="1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'GRAFIK_VERILERI'!$A$2:$A$12</f>
              <strCache>
                <ptCount val="1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</strCache>
            </strRef>
          </cat>
          <val>
            <numRef>
              <f>'GRAFIK_VERILERI'!$P$2:$P$12</f>
              <numCache>
                <formatCode>0.00%</formatCode>
                <ptCount val="1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189" headerRowCount="1">
  <autoFilter ref="A1:N118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table" Target="/xl/tables/table2.xml" Id="rId118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46272</v>
      </c>
      <c r="B2" s="6" t="n">
        <v>0.6471759259259259</v>
      </c>
      <c r="C2" s="7" t="inlineStr">
        <is>
          <t>Akbank</t>
        </is>
      </c>
      <c r="D2" s="8" t="n">
        <v>47.637</v>
      </c>
      <c r="E2" s="8" t="n">
        <v>48.987</v>
      </c>
      <c r="F2" s="8" t="n">
        <v>1.35</v>
      </c>
      <c r="G2" s="9" t="n">
        <v>0.02833931607783866</v>
      </c>
      <c r="H2" s="10" t="n">
        <v>55.3831</v>
      </c>
      <c r="I2" s="10" t="n">
        <v>56.9575</v>
      </c>
      <c r="J2" s="10" t="n">
        <v>1.5744</v>
      </c>
      <c r="K2" s="11" t="n">
        <v>0.0284274444731335</v>
      </c>
      <c r="L2" s="12" t="n">
        <v>6662.14</v>
      </c>
      <c r="M2" s="12" t="n">
        <v>6902.2</v>
      </c>
      <c r="N2" s="12" t="n">
        <v>240.06</v>
      </c>
      <c r="O2" s="13" t="n">
        <v>0.03603346672390553</v>
      </c>
    </row>
    <row r="3">
      <c r="A3" s="5" t="n">
        <v>46272</v>
      </c>
      <c r="B3" s="6" t="n">
        <v>0.6471759259259259</v>
      </c>
      <c r="C3" s="14" t="inlineStr">
        <is>
          <t>Albaraka Türk</t>
        </is>
      </c>
      <c r="D3" s="8" t="n">
        <v>48.033</v>
      </c>
      <c r="E3" s="8" t="n">
        <v>48.814</v>
      </c>
      <c r="F3" s="8" t="n">
        <v>0.781</v>
      </c>
      <c r="G3" s="9" t="n">
        <v>0.01625965482064414</v>
      </c>
      <c r="H3" s="10" t="n">
        <v>55.843</v>
      </c>
      <c r="I3" s="10" t="n">
        <v>56.761</v>
      </c>
      <c r="J3" s="10" t="n">
        <v>0.918</v>
      </c>
      <c r="K3" s="11" t="n">
        <v>0.0164389448990921</v>
      </c>
      <c r="L3" s="12" t="n">
        <v>6738.65</v>
      </c>
      <c r="M3" s="12" t="n">
        <v>6877.09</v>
      </c>
      <c r="N3" s="12" t="n">
        <v>138.44</v>
      </c>
      <c r="O3" s="13" t="n">
        <v>0.0205441742782308</v>
      </c>
    </row>
    <row r="4">
      <c r="A4" s="5" t="n">
        <v>46272</v>
      </c>
      <c r="B4" s="6" t="n">
        <v>0.6471759259259259</v>
      </c>
      <c r="C4" s="15" t="inlineStr">
        <is>
          <t>Alternatif Bank</t>
        </is>
      </c>
      <c r="D4" s="8" t="n">
        <v>48.217</v>
      </c>
      <c r="E4" s="8" t="n">
        <v>48.509</v>
      </c>
      <c r="F4" s="8" t="n">
        <v>0.292</v>
      </c>
      <c r="G4" s="9" t="n">
        <v>0.006055955368438517</v>
      </c>
      <c r="H4" s="10" t="n">
        <v>55.881</v>
      </c>
      <c r="I4" s="10" t="n">
        <v>56.396</v>
      </c>
      <c r="J4" s="10" t="n">
        <v>0.515</v>
      </c>
      <c r="K4" s="11" t="n">
        <v>0.009216012598199746</v>
      </c>
      <c r="L4" s="12" t="n">
        <v>6800.12</v>
      </c>
      <c r="M4" s="12" t="n">
        <v>6868.53</v>
      </c>
      <c r="N4" s="12" t="n">
        <v>68.41</v>
      </c>
      <c r="O4" s="13" t="n">
        <v>0.01006011658617789</v>
      </c>
    </row>
    <row r="5">
      <c r="A5" s="5" t="n">
        <v>46272</v>
      </c>
      <c r="B5" s="6" t="n">
        <v>0.6471759259259259</v>
      </c>
      <c r="C5" s="16" t="inlineStr">
        <is>
          <t>Altınkaynak</t>
        </is>
      </c>
      <c r="D5" s="8" t="n">
        <v>48.24</v>
      </c>
      <c r="E5" s="8" t="n">
        <v>48.431</v>
      </c>
      <c r="F5" s="8" t="n">
        <v>0.191</v>
      </c>
      <c r="G5" s="9" t="n">
        <v>0.003959369817578773</v>
      </c>
      <c r="H5" s="10" t="n">
        <v>55.936</v>
      </c>
      <c r="I5" s="10" t="n">
        <v>56.309</v>
      </c>
      <c r="J5" s="10" t="n">
        <v>0.373</v>
      </c>
      <c r="K5" s="11" t="n">
        <v>0.0066683352402746</v>
      </c>
      <c r="L5" s="12" t="n">
        <v>6733.16</v>
      </c>
      <c r="M5" s="12" t="n">
        <v>6885</v>
      </c>
      <c r="N5" s="12" t="n">
        <v>151.84</v>
      </c>
      <c r="O5" s="13" t="n">
        <v>0.02255107557224245</v>
      </c>
    </row>
    <row r="6">
      <c r="A6" s="5" t="n">
        <v>46272</v>
      </c>
      <c r="B6" s="6" t="n">
        <v>0.6471759259259259</v>
      </c>
      <c r="C6" s="17" t="inlineStr">
        <is>
          <t>Anadolubank</t>
        </is>
      </c>
      <c r="D6" s="8" t="n">
        <v>47.5894</v>
      </c>
      <c r="E6" s="8" t="n">
        <v>48.8659</v>
      </c>
      <c r="F6" s="8" t="n">
        <v>1.2765</v>
      </c>
      <c r="G6" s="9" t="n">
        <v>0.02682320012439745</v>
      </c>
      <c r="H6" s="10" t="n">
        <v>55.4354</v>
      </c>
      <c r="I6" s="10" t="n">
        <v>56.8006</v>
      </c>
      <c r="J6" s="10" t="n">
        <v>1.3652</v>
      </c>
      <c r="K6" s="11" t="n">
        <v>0.02462686297925153</v>
      </c>
      <c r="L6" s="12" t="n">
        <v>6725.62</v>
      </c>
      <c r="M6" s="12" t="n">
        <v>6876.92</v>
      </c>
      <c r="N6" s="12" t="n">
        <v>151.3</v>
      </c>
      <c r="O6" s="13" t="n">
        <v>0.02249606727706888</v>
      </c>
    </row>
    <row r="7">
      <c r="A7" s="5" t="n">
        <v>46272</v>
      </c>
      <c r="B7" s="6" t="n">
        <v>0.6471759259259259</v>
      </c>
      <c r="C7" s="18" t="inlineStr">
        <is>
          <t>CEPTETEB</t>
        </is>
      </c>
      <c r="D7" s="8" t="n">
        <v>47.436</v>
      </c>
      <c r="E7" s="8" t="n">
        <v>49.364</v>
      </c>
      <c r="F7" s="8" t="n">
        <v>1.928</v>
      </c>
      <c r="G7" s="9" t="n">
        <v>0.04064423644489417</v>
      </c>
      <c r="H7" s="10" t="n">
        <v>55.149</v>
      </c>
      <c r="I7" s="10" t="n">
        <v>57.395</v>
      </c>
      <c r="J7" s="10" t="n">
        <v>2.246</v>
      </c>
      <c r="K7" s="11" t="n">
        <v>0.04072603311030118</v>
      </c>
      <c r="L7" s="12" t="n">
        <v>6722.13</v>
      </c>
      <c r="M7" s="12" t="n">
        <v>6916.8</v>
      </c>
      <c r="N7" s="12" t="n">
        <v>194.67</v>
      </c>
      <c r="O7" s="13" t="n">
        <v>0.02895957085031084</v>
      </c>
    </row>
    <row r="8">
      <c r="A8" s="5" t="n">
        <v>46272</v>
      </c>
      <c r="B8" s="6" t="n">
        <v>0.6471759259259259</v>
      </c>
      <c r="C8" s="19" t="inlineStr">
        <is>
          <t>Denizbank</t>
        </is>
      </c>
      <c r="D8" s="8" t="n">
        <v>47.7169</v>
      </c>
      <c r="E8" s="8" t="n">
        <v>49.065</v>
      </c>
      <c r="F8" s="8" t="n">
        <v>1.3481</v>
      </c>
      <c r="G8" s="9" t="n">
        <v>0.02825204487299049</v>
      </c>
      <c r="H8" s="10" t="n">
        <v>55.48</v>
      </c>
      <c r="I8" s="10" t="n">
        <v>57.0474</v>
      </c>
      <c r="J8" s="10" t="n">
        <v>1.5674</v>
      </c>
      <c r="K8" s="11" t="n">
        <v>0.02825162220620043</v>
      </c>
      <c r="L8" s="12" t="n">
        <v>6740.86</v>
      </c>
      <c r="M8" s="12" t="n">
        <v>6932.3</v>
      </c>
      <c r="N8" s="12" t="n">
        <v>191.44</v>
      </c>
      <c r="O8" s="13" t="n">
        <v>0.02839993710001394</v>
      </c>
    </row>
    <row r="9">
      <c r="A9" s="5" t="n">
        <v>46272</v>
      </c>
      <c r="B9" s="6" t="n">
        <v>0.6471759259259259</v>
      </c>
      <c r="C9" s="20" t="inlineStr">
        <is>
          <t>DestekBank</t>
        </is>
      </c>
      <c r="D9" s="8" t="n">
        <v>48.361</v>
      </c>
      <c r="E9" s="8" t="n">
        <v>48.4178</v>
      </c>
      <c r="F9" s="8" t="n">
        <v>0.0568</v>
      </c>
      <c r="G9" s="9" t="n">
        <v>0.001174500113728004</v>
      </c>
      <c r="H9" s="10" t="n">
        <v>56.2134</v>
      </c>
      <c r="I9" s="10" t="n">
        <v>56.2962</v>
      </c>
      <c r="J9" s="10" t="n">
        <v>0.0828</v>
      </c>
      <c r="K9" s="11" t="n">
        <v>0.001472958404935478</v>
      </c>
      <c r="L9" s="12" t="n">
        <v>6792</v>
      </c>
      <c r="M9" s="12" t="n">
        <v>6820.85</v>
      </c>
      <c r="N9" s="12" t="n">
        <v>28.85</v>
      </c>
      <c r="O9" s="13" t="n">
        <v>0.004247644287396938</v>
      </c>
    </row>
    <row r="10">
      <c r="A10" s="5" t="n">
        <v>46272</v>
      </c>
      <c r="B10" s="6" t="n">
        <v>0.6471759259259259</v>
      </c>
      <c r="C10" s="21" t="inlineStr">
        <is>
          <t>Dünya Katılım</t>
        </is>
      </c>
      <c r="D10" s="8" t="n">
        <v>48.3739</v>
      </c>
      <c r="E10" s="8" t="n">
        <v>48.4122</v>
      </c>
      <c r="F10" s="8" t="n">
        <v>0.0383</v>
      </c>
      <c r="G10" s="9" t="n">
        <v>0.0007917492697508367</v>
      </c>
      <c r="H10" s="10" t="n">
        <v>56.1949</v>
      </c>
      <c r="I10" s="10" t="n">
        <v>56.3053</v>
      </c>
      <c r="J10" s="10" t="n">
        <v>0.1104</v>
      </c>
      <c r="K10" s="11" t="n">
        <v>0.001964591092786</v>
      </c>
      <c r="L10" s="12" t="n">
        <v>6788.33</v>
      </c>
      <c r="M10" s="12" t="n">
        <v>6820.61</v>
      </c>
      <c r="N10" s="12" t="n">
        <v>32.28</v>
      </c>
      <c r="O10" s="13" t="n">
        <v>0.004755219619552969</v>
      </c>
    </row>
    <row r="11">
      <c r="A11" s="5" t="n">
        <v>46272</v>
      </c>
      <c r="B11" s="6" t="n">
        <v>0.6471759259259259</v>
      </c>
      <c r="C11" s="22" t="inlineStr">
        <is>
          <t>Emlak Katılım</t>
        </is>
      </c>
      <c r="D11" s="8" t="n">
        <v>48.0639</v>
      </c>
      <c r="E11" s="8" t="n">
        <v>49.3043</v>
      </c>
      <c r="F11" s="8" t="n">
        <v>1.2404</v>
      </c>
      <c r="G11" s="9" t="n">
        <v>0.02580731068431817</v>
      </c>
      <c r="H11" s="10" t="n">
        <v>55.7729</v>
      </c>
      <c r="I11" s="10" t="n">
        <v>57.0519</v>
      </c>
      <c r="J11" s="10" t="n">
        <v>1.279</v>
      </c>
      <c r="K11" s="11" t="n">
        <v>0.02293228431729388</v>
      </c>
      <c r="L11" s="12" t="n">
        <v>6738.01</v>
      </c>
      <c r="M11" s="12" t="n">
        <v>6848.13</v>
      </c>
      <c r="N11" s="12" t="n">
        <v>110.12</v>
      </c>
      <c r="O11" s="13" t="n">
        <v>0.01634310426965825</v>
      </c>
    </row>
    <row r="12">
      <c r="A12" s="5" t="n">
        <v>46272</v>
      </c>
      <c r="B12" s="6" t="n">
        <v>0.6471759259259259</v>
      </c>
      <c r="C12" s="23" t="inlineStr">
        <is>
          <t>Enpara</t>
        </is>
      </c>
      <c r="D12" s="8" t="n">
        <v>47.9835</v>
      </c>
      <c r="E12" s="8" t="n">
        <v>48.8335</v>
      </c>
      <c r="F12" s="8" t="n">
        <v>0.85</v>
      </c>
      <c r="G12" s="9" t="n">
        <v>0.01771442266612482</v>
      </c>
      <c r="H12" s="10" t="n">
        <v>55.7019</v>
      </c>
      <c r="I12" s="10" t="n">
        <v>56.8688</v>
      </c>
      <c r="J12" s="10" t="n">
        <v>1.1669</v>
      </c>
      <c r="K12" s="11" t="n">
        <v>0.02094901610178468</v>
      </c>
      <c r="L12" s="12" t="n">
        <v>6736</v>
      </c>
      <c r="M12" s="12" t="n">
        <v>6892.68</v>
      </c>
      <c r="N12" s="12" t="n">
        <v>156.68</v>
      </c>
      <c r="O12" s="13" t="n">
        <v>0.02326009501187648</v>
      </c>
    </row>
    <row r="13">
      <c r="A13" s="5" t="n">
        <v>46272</v>
      </c>
      <c r="B13" s="6" t="n">
        <v>0.6471759259259259</v>
      </c>
      <c r="C13" s="24" t="inlineStr">
        <is>
          <t>Fibabanka</t>
        </is>
      </c>
      <c r="D13" s="8" t="n">
        <v>48.1346</v>
      </c>
      <c r="E13" s="8" t="n">
        <v>48.7414</v>
      </c>
      <c r="F13" s="8" t="n">
        <v>0.6068</v>
      </c>
      <c r="G13" s="9" t="n">
        <v>0.01260631645427613</v>
      </c>
      <c r="H13" s="10" t="n">
        <v>55.9748</v>
      </c>
      <c r="I13" s="10" t="n">
        <v>56.635</v>
      </c>
      <c r="J13" s="10" t="n">
        <v>0.6602</v>
      </c>
      <c r="K13" s="11" t="n">
        <v>0.01179459328126228</v>
      </c>
      <c r="L13" s="12" t="n">
        <v>6808.07</v>
      </c>
      <c r="M13" s="12" t="n">
        <v>6862.28</v>
      </c>
      <c r="N13" s="12" t="n">
        <v>54.21</v>
      </c>
      <c r="O13" s="13" t="n">
        <v>0.007962609080106403</v>
      </c>
    </row>
    <row r="14">
      <c r="A14" s="5" t="n">
        <v>46272</v>
      </c>
      <c r="B14" s="6" t="n">
        <v>0.6471759259259259</v>
      </c>
      <c r="C14" s="25" t="inlineStr">
        <is>
          <t>Garanti BBVA</t>
        </is>
      </c>
      <c r="D14" s="8" t="n">
        <v>47.591</v>
      </c>
      <c r="E14" s="8" t="n">
        <v>48.941</v>
      </c>
      <c r="F14" s="8" t="n">
        <v>1.35</v>
      </c>
      <c r="G14" s="9" t="n">
        <v>0.0283667079910067</v>
      </c>
      <c r="H14" s="10" t="n">
        <v>55.329</v>
      </c>
      <c r="I14" s="10" t="n">
        <v>56.899</v>
      </c>
      <c r="J14" s="10" t="n">
        <v>1.57</v>
      </c>
      <c r="K14" s="11" t="n">
        <v>0.02837571617054348</v>
      </c>
      <c r="L14" s="12" t="n">
        <v>6702.59</v>
      </c>
      <c r="M14" s="12" t="n">
        <v>6950.07</v>
      </c>
      <c r="N14" s="12" t="n">
        <v>247.48</v>
      </c>
      <c r="O14" s="13" t="n">
        <v>0.03692304019789365</v>
      </c>
    </row>
    <row r="15">
      <c r="A15" s="5" t="n">
        <v>46272</v>
      </c>
      <c r="B15" s="6" t="n">
        <v>0.6471759259259259</v>
      </c>
      <c r="C15" s="26" t="inlineStr">
        <is>
          <t>Getirfinans</t>
        </is>
      </c>
      <c r="D15" s="8" t="n">
        <v>48.1346</v>
      </c>
      <c r="E15" s="8" t="n">
        <v>48.7416</v>
      </c>
      <c r="F15" s="8" t="n">
        <v>0.607</v>
      </c>
      <c r="G15" s="9" t="n">
        <v>0.01261047146958737</v>
      </c>
      <c r="H15" s="10" t="n">
        <v>55.9794</v>
      </c>
      <c r="I15" s="10" t="n">
        <v>56.6389</v>
      </c>
      <c r="J15" s="10" t="n">
        <v>0.6595</v>
      </c>
      <c r="K15" s="11" t="n">
        <v>0.01178111948323848</v>
      </c>
      <c r="L15" s="12" t="n">
        <v>6810.44</v>
      </c>
      <c r="M15" s="12" t="n">
        <v>6864.65</v>
      </c>
      <c r="N15" s="12" t="n">
        <v>54.21</v>
      </c>
      <c r="O15" s="13" t="n">
        <v>0.007959838130869666</v>
      </c>
    </row>
    <row r="16">
      <c r="A16" s="5" t="n">
        <v>46272</v>
      </c>
      <c r="B16" s="6" t="n">
        <v>0.6471759259259259</v>
      </c>
      <c r="C16" s="27" t="inlineStr">
        <is>
          <t>Halkbank</t>
        </is>
      </c>
      <c r="D16" s="8" t="n">
        <v>48.0033</v>
      </c>
      <c r="E16" s="8" t="n">
        <v>48.9832</v>
      </c>
      <c r="F16" s="8" t="n">
        <v>0.9799</v>
      </c>
      <c r="G16" s="9" t="n">
        <v>0.02041317992721334</v>
      </c>
      <c r="H16" s="10" t="n">
        <v>55.8116</v>
      </c>
      <c r="I16" s="10" t="n">
        <v>56.951</v>
      </c>
      <c r="J16" s="10" t="n">
        <v>1.1394</v>
      </c>
      <c r="K16" s="11" t="n">
        <v>0.02041511083717364</v>
      </c>
      <c r="L16" s="12" t="n">
        <v>6736.31</v>
      </c>
      <c r="M16" s="12" t="n">
        <v>6943.23</v>
      </c>
      <c r="N16" s="12" t="n">
        <v>206.92</v>
      </c>
      <c r="O16" s="13" t="n">
        <v>0.03071711367202519</v>
      </c>
    </row>
    <row r="17">
      <c r="A17" s="5" t="n">
        <v>46272</v>
      </c>
      <c r="B17" s="6" t="n">
        <v>0.6471759259259259</v>
      </c>
      <c r="C17" s="28" t="inlineStr">
        <is>
          <t>Harem</t>
        </is>
      </c>
      <c r="D17" s="8" t="n">
        <v>48.2844</v>
      </c>
      <c r="E17" s="8" t="n">
        <v>48.3444</v>
      </c>
      <c r="F17" s="8" t="n">
        <v>0.06</v>
      </c>
      <c r="G17" s="9" t="n">
        <v>0.001242637373561647</v>
      </c>
      <c r="H17" s="10" t="n">
        <v>55.982</v>
      </c>
      <c r="I17" s="10" t="n">
        <v>56.138</v>
      </c>
      <c r="J17" s="10" t="n">
        <v>0.156</v>
      </c>
      <c r="K17" s="11" t="n">
        <v>0.002786609981779858</v>
      </c>
      <c r="L17" s="12" t="n">
        <v>6753.6</v>
      </c>
      <c r="M17" s="12" t="n">
        <v>6825.59</v>
      </c>
      <c r="N17" s="12" t="n">
        <v>71.98999999999999</v>
      </c>
      <c r="O17" s="13" t="n">
        <v>0.01065950011845534</v>
      </c>
    </row>
    <row r="18">
      <c r="A18" s="5" t="n">
        <v>46272</v>
      </c>
      <c r="B18" s="6" t="n">
        <v>0.6471759259259259</v>
      </c>
      <c r="C18" s="29" t="inlineStr">
        <is>
          <t>Hayat Finans</t>
        </is>
      </c>
      <c r="D18" s="8" t="n">
        <v>48.3545</v>
      </c>
      <c r="E18" s="8" t="n">
        <v>48.501</v>
      </c>
      <c r="F18" s="8" t="n">
        <v>0.1465</v>
      </c>
      <c r="G18" s="9" t="n">
        <v>0.003029707679740251</v>
      </c>
      <c r="H18" s="10" t="n">
        <v>56.2056</v>
      </c>
      <c r="I18" s="10" t="n">
        <v>56.3778</v>
      </c>
      <c r="J18" s="10" t="n">
        <v>0.1722</v>
      </c>
      <c r="K18" s="11" t="n">
        <v>0.003063751654639396</v>
      </c>
      <c r="L18" s="12" t="n">
        <v>6799.23</v>
      </c>
      <c r="M18" s="12" t="n">
        <v>6847.17</v>
      </c>
      <c r="N18" s="12" t="n">
        <v>47.94</v>
      </c>
      <c r="O18" s="13" t="n">
        <v>0.007050798399230502</v>
      </c>
    </row>
    <row r="19">
      <c r="A19" s="5" t="n">
        <v>46272</v>
      </c>
      <c r="B19" s="6" t="n">
        <v>0.6471759259259259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6798.67</v>
      </c>
      <c r="M19" s="12" t="n">
        <v>6997.09</v>
      </c>
      <c r="N19" s="12" t="n">
        <v>198.42</v>
      </c>
      <c r="O19" s="13" t="n">
        <v>0.02918512003082956</v>
      </c>
    </row>
    <row r="20">
      <c r="A20" s="5" t="n">
        <v>46272</v>
      </c>
      <c r="B20" s="6" t="n">
        <v>0.6471759259259259</v>
      </c>
      <c r="C20" s="31" t="inlineStr">
        <is>
          <t>HSBC</t>
        </is>
      </c>
      <c r="D20" s="8" t="n">
        <v>47.8878</v>
      </c>
      <c r="E20" s="8" t="n">
        <v>48.8404</v>
      </c>
      <c r="F20" s="8" t="n">
        <v>0.9526</v>
      </c>
      <c r="G20" s="9" t="n">
        <v>0.01989233165858528</v>
      </c>
      <c r="H20" s="10" t="n">
        <v>55.745</v>
      </c>
      <c r="I20" s="10" t="n">
        <v>56.7951</v>
      </c>
      <c r="J20" s="10" t="n">
        <v>1.0501</v>
      </c>
      <c r="K20" s="11" t="n">
        <v>0.01883756390707687</v>
      </c>
      <c r="L20" s="12" t="n">
        <v>6741.38</v>
      </c>
      <c r="M20" s="12" t="n">
        <v>7187.6</v>
      </c>
      <c r="N20" s="12" t="n">
        <v>446.22</v>
      </c>
      <c r="O20" s="13" t="n">
        <v>0.06619119527455802</v>
      </c>
    </row>
    <row r="21">
      <c r="A21" s="5" t="n">
        <v>46272</v>
      </c>
      <c r="B21" s="6" t="n">
        <v>0.6471759259259259</v>
      </c>
      <c r="C21" s="32" t="inlineStr">
        <is>
          <t>ING Bank</t>
        </is>
      </c>
      <c r="D21" s="8" t="n">
        <v>47.8878</v>
      </c>
      <c r="E21" s="8" t="n">
        <v>48.8909</v>
      </c>
      <c r="F21" s="8" t="n">
        <v>1.0031</v>
      </c>
      <c r="G21" s="9" t="n">
        <v>0.02094687999866354</v>
      </c>
      <c r="H21" s="10" t="n">
        <v>55.755</v>
      </c>
      <c r="I21" s="10" t="n">
        <v>56.7616</v>
      </c>
      <c r="J21" s="10" t="n">
        <v>1.0066</v>
      </c>
      <c r="K21" s="11" t="n">
        <v>0.01805398618957941</v>
      </c>
      <c r="L21" s="12" t="n">
        <v>6709.4</v>
      </c>
      <c r="M21" s="12" t="n">
        <v>6961.22</v>
      </c>
      <c r="N21" s="12" t="n">
        <v>251.82</v>
      </c>
      <c r="O21" s="13" t="n">
        <v>0.03753241720571139</v>
      </c>
    </row>
    <row r="22">
      <c r="A22" s="5" t="n">
        <v>46272</v>
      </c>
      <c r="B22" s="6" t="n">
        <v>0.6471759259259259</v>
      </c>
      <c r="C22" s="33" t="inlineStr">
        <is>
          <t>İş Bankası</t>
        </is>
      </c>
      <c r="D22" s="8" t="n">
        <v>47.8126</v>
      </c>
      <c r="E22" s="8" t="n">
        <v>48.9724</v>
      </c>
      <c r="F22" s="8" t="n">
        <v>1.1598</v>
      </c>
      <c r="G22" s="9" t="n">
        <v>0.02425720416793899</v>
      </c>
      <c r="H22" s="10" t="n">
        <v>55.5822</v>
      </c>
      <c r="I22" s="10" t="n">
        <v>56.9405</v>
      </c>
      <c r="J22" s="10" t="n">
        <v>1.3583</v>
      </c>
      <c r="K22" s="11" t="n">
        <v>0.02443767968882124</v>
      </c>
      <c r="L22" s="12" t="n">
        <v>6730.36</v>
      </c>
      <c r="M22" s="12" t="n">
        <v>6915.65</v>
      </c>
      <c r="N22" s="12" t="n">
        <v>185.29</v>
      </c>
      <c r="O22" s="13" t="n">
        <v>0.02753047385281025</v>
      </c>
    </row>
    <row r="23">
      <c r="A23" s="5" t="n">
        <v>46272</v>
      </c>
      <c r="B23" s="6" t="n">
        <v>0.6471759259259259</v>
      </c>
      <c r="C23" s="34" t="inlineStr">
        <is>
          <t>Kapalıçarşı</t>
        </is>
      </c>
      <c r="D23" s="8" t="n">
        <v>48.3</v>
      </c>
      <c r="E23" s="8" t="n">
        <v>48.31</v>
      </c>
      <c r="F23" s="8" t="n">
        <v>0.01</v>
      </c>
      <c r="G23" s="9" t="n">
        <v>0.0002070393374741201</v>
      </c>
      <c r="H23" s="10" t="n">
        <v>56</v>
      </c>
      <c r="I23" s="10" t="n">
        <v>56.05</v>
      </c>
      <c r="J23" s="10" t="n">
        <v>0.05</v>
      </c>
      <c r="K23" s="11" t="n">
        <v>0.0008928571428571428</v>
      </c>
      <c r="L23" s="12" t="n">
        <v>6791.13</v>
      </c>
      <c r="M23" s="12" t="n">
        <v>6797.39</v>
      </c>
      <c r="N23" s="12" t="n">
        <v>6.26</v>
      </c>
      <c r="O23" s="13" t="n">
        <v>0.0009217906298362717</v>
      </c>
    </row>
    <row r="24">
      <c r="A24" s="5" t="n">
        <v>46272</v>
      </c>
      <c r="B24" s="6" t="n">
        <v>0.6471759259259259</v>
      </c>
      <c r="C24" s="35" t="inlineStr">
        <is>
          <t>Kuveyt Türk</t>
        </is>
      </c>
      <c r="D24" s="8" t="n">
        <v>47.7155</v>
      </c>
      <c r="E24" s="8" t="n">
        <v>48.7538</v>
      </c>
      <c r="F24" s="8" t="n">
        <v>1.0383</v>
      </c>
      <c r="G24" s="9" t="n">
        <v>0.02176022466494116</v>
      </c>
      <c r="H24" s="10" t="n">
        <v>55.4735</v>
      </c>
      <c r="I24" s="10" t="n">
        <v>56.6866</v>
      </c>
      <c r="J24" s="10" t="n">
        <v>1.2131</v>
      </c>
      <c r="K24" s="11" t="n">
        <v>0.02186809918249254</v>
      </c>
      <c r="L24" s="12" t="n">
        <v>6687.59</v>
      </c>
      <c r="M24" s="12" t="n">
        <v>6865</v>
      </c>
      <c r="N24" s="12" t="n">
        <v>177.41</v>
      </c>
      <c r="O24" s="13" t="n">
        <v>0.02652824111525976</v>
      </c>
    </row>
    <row r="25">
      <c r="A25" s="5" t="n">
        <v>46272</v>
      </c>
      <c r="B25" s="6" t="n">
        <v>0.6471759259259259</v>
      </c>
      <c r="C25" s="36" t="inlineStr">
        <is>
          <t>Merkez Bankası</t>
        </is>
      </c>
      <c r="D25" s="8" t="n">
        <v>48.3465</v>
      </c>
      <c r="E25" s="8" t="n">
        <v>48.4336</v>
      </c>
      <c r="F25" s="8" t="n">
        <v>0.0871</v>
      </c>
      <c r="G25" s="9" t="n">
        <v>0.001801578190768722</v>
      </c>
      <c r="H25" s="10" t="n">
        <v>56.1851</v>
      </c>
      <c r="I25" s="10" t="n">
        <v>56.2864</v>
      </c>
      <c r="J25" s="10" t="n">
        <v>0.1013</v>
      </c>
      <c r="K25" s="11" t="n">
        <v>0.001802969114587319</v>
      </c>
      <c r="L25" s="12" t="n"/>
      <c r="M25" s="12" t="n"/>
      <c r="N25" s="12" t="n"/>
      <c r="O25" s="13" t="n"/>
    </row>
    <row r="26">
      <c r="A26" s="5" t="n">
        <v>46272</v>
      </c>
      <c r="B26" s="6" t="n">
        <v>0.6471759259259259</v>
      </c>
      <c r="C26" s="37" t="inlineStr">
        <is>
          <t>Misyon Bank</t>
        </is>
      </c>
      <c r="D26" s="8" t="n">
        <v>48.3633</v>
      </c>
      <c r="E26" s="8" t="n">
        <v>48.4167</v>
      </c>
      <c r="F26" s="8" t="n">
        <v>0.0534</v>
      </c>
      <c r="G26" s="9" t="n">
        <v>0.001104143017536024</v>
      </c>
      <c r="H26" s="10" t="n">
        <v>56.2132</v>
      </c>
      <c r="I26" s="10" t="n">
        <v>56.2939</v>
      </c>
      <c r="J26" s="10" t="n">
        <v>0.08069999999999999</v>
      </c>
      <c r="K26" s="11" t="n">
        <v>0.001435605871930436</v>
      </c>
      <c r="L26" s="12" t="n">
        <v>6787.52</v>
      </c>
      <c r="M26" s="12" t="n">
        <v>6816.18</v>
      </c>
      <c r="N26" s="12" t="n">
        <v>28.66</v>
      </c>
      <c r="O26" s="13" t="n">
        <v>0.004222455329781717</v>
      </c>
    </row>
    <row r="27">
      <c r="A27" s="5" t="n">
        <v>46272</v>
      </c>
      <c r="B27" s="6" t="n">
        <v>0.6471759259259259</v>
      </c>
      <c r="C27" s="38" t="inlineStr">
        <is>
          <t>Odacı</t>
        </is>
      </c>
      <c r="D27" s="8" t="n">
        <v>48.317</v>
      </c>
      <c r="E27" s="8" t="n">
        <v>48.419</v>
      </c>
      <c r="F27" s="8" t="n">
        <v>0.102</v>
      </c>
      <c r="G27" s="9" t="n">
        <v>0.002111058219674235</v>
      </c>
      <c r="H27" s="10" t="n">
        <v>56.015</v>
      </c>
      <c r="I27" s="10" t="n">
        <v>56.194</v>
      </c>
      <c r="J27" s="10" t="n">
        <v>0.179</v>
      </c>
      <c r="K27" s="11" t="n">
        <v>0.003195572614478265</v>
      </c>
      <c r="L27" s="12" t="n">
        <v>6771</v>
      </c>
      <c r="M27" s="12" t="n">
        <v>6817</v>
      </c>
      <c r="N27" s="12" t="n">
        <v>46</v>
      </c>
      <c r="O27" s="13" t="n">
        <v>0.006793678924826466</v>
      </c>
    </row>
    <row r="28">
      <c r="A28" s="5" t="n">
        <v>46272</v>
      </c>
      <c r="B28" s="6" t="n">
        <v>0.6471759259259259</v>
      </c>
      <c r="C28" s="39" t="inlineStr">
        <is>
          <t>Odeabank</t>
        </is>
      </c>
      <c r="D28" s="8" t="n">
        <v>47.8735</v>
      </c>
      <c r="E28" s="8" t="n">
        <v>48.8735</v>
      </c>
      <c r="F28" s="8" t="n">
        <v>1</v>
      </c>
      <c r="G28" s="9" t="n">
        <v>0.02088838292583579</v>
      </c>
      <c r="H28" s="10" t="n">
        <v>55.694</v>
      </c>
      <c r="I28" s="10" t="n">
        <v>56.784</v>
      </c>
      <c r="J28" s="10" t="n">
        <v>1.09</v>
      </c>
      <c r="K28" s="11" t="n">
        <v>0.01957122849858153</v>
      </c>
      <c r="L28" s="12" t="n">
        <v>6783.66</v>
      </c>
      <c r="M28" s="12" t="n">
        <v>6883.66</v>
      </c>
      <c r="N28" s="12" t="n">
        <v>100</v>
      </c>
      <c r="O28" s="13" t="n">
        <v>0.01474130484133934</v>
      </c>
    </row>
    <row r="29">
      <c r="A29" s="5" t="n">
        <v>46272</v>
      </c>
      <c r="B29" s="6" t="n">
        <v>0.6471759259259259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6798.2</v>
      </c>
      <c r="M29" s="12" t="n">
        <v>6982.65</v>
      </c>
      <c r="N29" s="12" t="n">
        <v>184.45</v>
      </c>
      <c r="O29" s="13" t="n">
        <v>0.02713218204818922</v>
      </c>
    </row>
    <row r="30">
      <c r="A30" s="5" t="n">
        <v>46272</v>
      </c>
      <c r="B30" s="6" t="n">
        <v>0.6471759259259259</v>
      </c>
      <c r="C30" s="41" t="inlineStr">
        <is>
          <t>QNB Finansbank</t>
        </is>
      </c>
      <c r="D30" s="8" t="n">
        <v>47.8235</v>
      </c>
      <c r="E30" s="8" t="n">
        <v>49.0435</v>
      </c>
      <c r="F30" s="8" t="n">
        <v>1.22</v>
      </c>
      <c r="G30" s="9" t="n">
        <v>0.02551047079364747</v>
      </c>
      <c r="H30" s="10" t="n">
        <v>55.4876</v>
      </c>
      <c r="I30" s="10" t="n">
        <v>57.1476</v>
      </c>
      <c r="J30" s="10" t="n">
        <v>1.66</v>
      </c>
      <c r="K30" s="11" t="n">
        <v>0.02991659397775359</v>
      </c>
      <c r="L30" s="12" t="n">
        <v>6710.09</v>
      </c>
      <c r="M30" s="12" t="n">
        <v>6911.48</v>
      </c>
      <c r="N30" s="12" t="n">
        <v>201.39</v>
      </c>
      <c r="O30" s="13" t="n">
        <v>0.03001301025768656</v>
      </c>
    </row>
    <row r="31">
      <c r="A31" s="5" t="n">
        <v>46272</v>
      </c>
      <c r="B31" s="6" t="n">
        <v>0.6471759259259259</v>
      </c>
      <c r="C31" s="42" t="inlineStr">
        <is>
          <t>TOM Bank Hadi</t>
        </is>
      </c>
      <c r="D31" s="8" t="n">
        <v>48.3107</v>
      </c>
      <c r="E31" s="8" t="n">
        <v>48.5286</v>
      </c>
      <c r="F31" s="8" t="n">
        <v>0.2179</v>
      </c>
      <c r="G31" s="9" t="n">
        <v>0.004510387967882891</v>
      </c>
      <c r="H31" s="10" t="n">
        <v>56.084</v>
      </c>
      <c r="I31" s="10" t="n">
        <v>56.4218</v>
      </c>
      <c r="J31" s="10" t="n">
        <v>0.3378</v>
      </c>
      <c r="K31" s="11" t="n">
        <v>0.006023108194850582</v>
      </c>
      <c r="L31" s="12" t="n">
        <v>6776.09</v>
      </c>
      <c r="M31" s="12" t="n">
        <v>6878.24</v>
      </c>
      <c r="N31" s="12" t="n">
        <v>102.15</v>
      </c>
      <c r="O31" s="13" t="n">
        <v>0.0150750654138301</v>
      </c>
    </row>
    <row r="32">
      <c r="A32" s="5" t="n">
        <v>46272</v>
      </c>
      <c r="B32" s="6" t="n">
        <v>0.6471759259259259</v>
      </c>
      <c r="C32" s="43" t="inlineStr">
        <is>
          <t>Türkiye Finans</t>
        </is>
      </c>
      <c r="D32" s="8" t="n">
        <v>47.9875</v>
      </c>
      <c r="E32" s="8" t="n">
        <v>48.79</v>
      </c>
      <c r="F32" s="8" t="n">
        <v>0.8025</v>
      </c>
      <c r="G32" s="9" t="n">
        <v>0.01672310497525397</v>
      </c>
      <c r="H32" s="10" t="n">
        <v>55.8229</v>
      </c>
      <c r="I32" s="10" t="n">
        <v>56.6747</v>
      </c>
      <c r="J32" s="10" t="n">
        <v>0.8518</v>
      </c>
      <c r="K32" s="11" t="n">
        <v>0.01525897078080859</v>
      </c>
      <c r="L32" s="12" t="n">
        <v>6738.33</v>
      </c>
      <c r="M32" s="12" t="n">
        <v>6934.84</v>
      </c>
      <c r="N32" s="12" t="n">
        <v>196.51</v>
      </c>
      <c r="O32" s="13" t="n">
        <v>0.02916301220035231</v>
      </c>
    </row>
    <row r="33">
      <c r="A33" s="5" t="n">
        <v>46272</v>
      </c>
      <c r="B33" s="6" t="n">
        <v>0.6471759259259259</v>
      </c>
      <c r="C33" s="44" t="inlineStr">
        <is>
          <t>Vakıf Katılım</t>
        </is>
      </c>
      <c r="D33" s="8" t="n">
        <v>48.2869</v>
      </c>
      <c r="E33" s="8" t="n">
        <v>48.4906</v>
      </c>
      <c r="F33" s="8" t="n">
        <v>0.2037</v>
      </c>
      <c r="G33" s="9" t="n">
        <v>0.00421853546199901</v>
      </c>
      <c r="H33" s="10" t="n">
        <v>56.13</v>
      </c>
      <c r="I33" s="10" t="n">
        <v>56.3561</v>
      </c>
      <c r="J33" s="10" t="n">
        <v>0.2261</v>
      </c>
      <c r="K33" s="11" t="n">
        <v>0.004028148939960805</v>
      </c>
      <c r="L33" s="12" t="n">
        <v>6774.75</v>
      </c>
      <c r="M33" s="12" t="n">
        <v>6829.16</v>
      </c>
      <c r="N33" s="12" t="n">
        <v>54.41</v>
      </c>
      <c r="O33" s="13" t="n">
        <v>0.008031292667626111</v>
      </c>
    </row>
    <row r="34">
      <c r="A34" s="5" t="n">
        <v>46272</v>
      </c>
      <c r="B34" s="6" t="n">
        <v>0.6471759259259259</v>
      </c>
      <c r="C34" s="45" t="inlineStr">
        <is>
          <t>Vakıfbank</t>
        </is>
      </c>
      <c r="D34" s="8" t="n">
        <v>48.0254</v>
      </c>
      <c r="E34" s="8" t="n">
        <v>48.9909</v>
      </c>
      <c r="F34" s="8" t="n">
        <v>0.9655</v>
      </c>
      <c r="G34" s="9" t="n">
        <v>0.02010394499577307</v>
      </c>
      <c r="H34" s="10" t="n">
        <v>55.816</v>
      </c>
      <c r="I34" s="10" t="n">
        <v>56.9325</v>
      </c>
      <c r="J34" s="10" t="n">
        <v>1.1165</v>
      </c>
      <c r="K34" s="11" t="n">
        <v>0.02000322488175434</v>
      </c>
      <c r="L34" s="12" t="n">
        <v>6742.87</v>
      </c>
      <c r="M34" s="12" t="n">
        <v>6887.47</v>
      </c>
      <c r="N34" s="12" t="n">
        <v>144.6</v>
      </c>
      <c r="O34" s="13" t="n">
        <v>0.02144487436358702</v>
      </c>
    </row>
    <row r="35">
      <c r="A35" s="5" t="n">
        <v>46272</v>
      </c>
      <c r="B35" s="6" t="n">
        <v>0.6471759259259259</v>
      </c>
      <c r="C35" s="46" t="inlineStr">
        <is>
          <t>Venüs</t>
        </is>
      </c>
      <c r="D35" s="8" t="n">
        <v>48.292</v>
      </c>
      <c r="E35" s="8" t="n">
        <v>48.347</v>
      </c>
      <c r="F35" s="8" t="n">
        <v>0.055</v>
      </c>
      <c r="G35" s="9" t="n">
        <v>0.001138904994616086</v>
      </c>
      <c r="H35" s="10" t="n">
        <v>55.999</v>
      </c>
      <c r="I35" s="10" t="n">
        <v>56.141</v>
      </c>
      <c r="J35" s="10" t="n">
        <v>0.142</v>
      </c>
      <c r="K35" s="11" t="n">
        <v>0.002535759567135127</v>
      </c>
      <c r="L35" s="12" t="n"/>
      <c r="M35" s="12" t="n"/>
      <c r="N35" s="12" t="n"/>
      <c r="O35" s="13" t="n"/>
    </row>
    <row r="36">
      <c r="A36" s="5" t="n">
        <v>46272</v>
      </c>
      <c r="B36" s="6" t="n">
        <v>0.6471759259259259</v>
      </c>
      <c r="C36" s="47" t="inlineStr">
        <is>
          <t>Yapıkredi</t>
        </is>
      </c>
      <c r="D36" s="8" t="n">
        <v>47.79</v>
      </c>
      <c r="E36" s="8" t="n">
        <v>48.79</v>
      </c>
      <c r="F36" s="8" t="n">
        <v>1</v>
      </c>
      <c r="G36" s="9" t="n">
        <v>0.02092487968194183</v>
      </c>
      <c r="H36" s="10" t="n">
        <v>55.57</v>
      </c>
      <c r="I36" s="10" t="n">
        <v>56.71</v>
      </c>
      <c r="J36" s="10" t="n">
        <v>1.14</v>
      </c>
      <c r="K36" s="11" t="n">
        <v>0.02051466618679143</v>
      </c>
      <c r="L36" s="12" t="n">
        <v>6715.15</v>
      </c>
      <c r="M36" s="12" t="n">
        <v>6918.47</v>
      </c>
      <c r="N36" s="12" t="n">
        <v>203.32</v>
      </c>
      <c r="O36" s="13" t="n">
        <v>0.03027780466556965</v>
      </c>
    </row>
    <row r="37">
      <c r="A37" s="5" t="n">
        <v>46272</v>
      </c>
      <c r="B37" s="6" t="n">
        <v>0.6471759259259259</v>
      </c>
      <c r="C37" s="48" t="inlineStr">
        <is>
          <t>Ziraat Bankası</t>
        </is>
      </c>
      <c r="D37" s="8" t="n">
        <v>48.0255</v>
      </c>
      <c r="E37" s="8" t="n">
        <v>48.9971</v>
      </c>
      <c r="F37" s="8" t="n">
        <v>0.9716</v>
      </c>
      <c r="G37" s="9" t="n">
        <v>0.02023091899095272</v>
      </c>
      <c r="H37" s="10" t="n">
        <v>55.8217</v>
      </c>
      <c r="I37" s="10" t="n">
        <v>56.951</v>
      </c>
      <c r="J37" s="10" t="n">
        <v>1.1293</v>
      </c>
      <c r="K37" s="11" t="n">
        <v>0.02023048384409647</v>
      </c>
      <c r="L37" s="12" t="n">
        <v>6774.09</v>
      </c>
      <c r="M37" s="12" t="n">
        <v>6910.87</v>
      </c>
      <c r="N37" s="12" t="n">
        <v>136.78</v>
      </c>
      <c r="O37" s="13" t="n">
        <v>0.02019164197700355</v>
      </c>
    </row>
    <row r="38">
      <c r="A38" s="5" t="n">
        <v>46272</v>
      </c>
      <c r="B38" s="6" t="n">
        <v>0.6471759259259259</v>
      </c>
      <c r="C38" s="49" t="inlineStr">
        <is>
          <t>Ziraat Dinamik</t>
        </is>
      </c>
      <c r="D38" s="8" t="n">
        <v>48.074</v>
      </c>
      <c r="E38" s="8" t="n">
        <v>48.7281</v>
      </c>
      <c r="F38" s="8" t="n">
        <v>0.6541</v>
      </c>
      <c r="G38" s="9" t="n">
        <v>0.01360610725132088</v>
      </c>
      <c r="H38" s="10" t="n">
        <v>55.8289</v>
      </c>
      <c r="I38" s="10" t="n">
        <v>56.645</v>
      </c>
      <c r="J38" s="10" t="n">
        <v>0.8161</v>
      </c>
      <c r="K38" s="11" t="n">
        <v>0.01461787712098931</v>
      </c>
      <c r="L38" s="12" t="n">
        <v>6745.06</v>
      </c>
      <c r="M38" s="12" t="n">
        <v>6881.25</v>
      </c>
      <c r="N38" s="12" t="n">
        <v>136.19</v>
      </c>
      <c r="O38" s="13" t="n">
        <v>0.02019107317058707</v>
      </c>
    </row>
    <row r="39">
      <c r="A39" s="5" t="n">
        <v>46272</v>
      </c>
      <c r="B39" s="6" t="n">
        <v>0.6471759259259259</v>
      </c>
      <c r="C39" s="50" t="inlineStr">
        <is>
          <t>Ziraat Katılım</t>
        </is>
      </c>
      <c r="D39" s="8" t="n">
        <v>47.9032</v>
      </c>
      <c r="E39" s="8" t="n">
        <v>48.9031</v>
      </c>
      <c r="F39" s="8" t="n">
        <v>0.9999</v>
      </c>
      <c r="G39" s="9" t="n">
        <v>0.02087334457823277</v>
      </c>
      <c r="H39" s="10" t="n">
        <v>55.6543</v>
      </c>
      <c r="I39" s="10" t="n">
        <v>56.8712</v>
      </c>
      <c r="J39" s="10" t="n">
        <v>1.2169</v>
      </c>
      <c r="K39" s="11" t="n">
        <v>0.02186533655081458</v>
      </c>
      <c r="L39" s="12" t="n">
        <v>6764.08</v>
      </c>
      <c r="M39" s="12" t="n">
        <v>6978.79</v>
      </c>
      <c r="N39" s="12" t="n">
        <v>214.71</v>
      </c>
      <c r="O39" s="13" t="n">
        <v>0.03174267601802463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</hyperlinks>
  <pageMargins left="0.75" right="0.75" top="1" bottom="1" header="0.5" footer="0.5"/>
  <tableParts count="1">
    <tablePart xmlns:r="http://schemas.openxmlformats.org/officeDocument/2006/relationships" r:id="rId118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46272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0.6471759259259259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0.02023091899095272</v>
      </c>
      <c r="O5" s="71" t="inlineStr">
        <is>
          <t>Ziraat Bankası</t>
        </is>
      </c>
      <c r="P5" s="72" t="n">
        <v>48.0255</v>
      </c>
      <c r="Q5" s="72" t="n">
        <v>48.9971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0.02023048384409647</v>
      </c>
      <c r="O6" s="71" t="inlineStr">
        <is>
          <t>Ziraat Bankası</t>
        </is>
      </c>
      <c r="P6" s="72" t="n">
        <v>55.8217</v>
      </c>
      <c r="Q6" s="72" t="n">
        <v>56.951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0.02019164197700355</v>
      </c>
      <c r="O7" s="71" t="inlineStr">
        <is>
          <t>Ziraat Bankası</t>
        </is>
      </c>
      <c r="P7" s="72" t="n">
        <v>6774.09</v>
      </c>
      <c r="Q7" s="72" t="n">
        <v>6910.87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0.03242314052146741</v>
      </c>
      <c r="I10" s="67" t="n">
        <v>0.03242200685531445</v>
      </c>
      <c r="J10" s="68" t="n">
        <v>0.04657684058752942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0.03671735863556674</v>
      </c>
      <c r="I11" s="67" t="n">
        <v>0.03680803771653119</v>
      </c>
      <c r="J11" s="68" t="n">
        <v>0.05004450591930092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0.02976790719849226</v>
      </c>
      <c r="I12" s="67" t="n">
        <v>0.02772664658855561</v>
      </c>
      <c r="J12" s="68" t="n">
        <v>0.04290902368088835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0.03184407911782289</v>
      </c>
      <c r="I13" s="67" t="n">
        <v>0.03184371784113015</v>
      </c>
      <c r="J13" s="68" t="n">
        <v>0.05576236185197368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0.03316460242321718</v>
      </c>
      <c r="I14" s="67" t="n">
        <v>0.03330223806909207</v>
      </c>
      <c r="J14" s="68" t="n">
        <v>0.05573477786740539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0.03242314052146741</v>
      </c>
      <c r="V3" s="55" t="n">
        <v>0.03671735863556674</v>
      </c>
      <c r="W3" s="55" t="n">
        <v>0.02976790719849226</v>
      </c>
      <c r="X3" s="55" t="n">
        <v>0.03184407911782289</v>
      </c>
      <c r="Y3" s="55" t="n">
        <v>0.03316460242321718</v>
      </c>
      <c r="Z3" s="55" t="n">
        <v>0.03242200685531445</v>
      </c>
      <c r="AA3" s="55" t="n">
        <v>0.03680803771653119</v>
      </c>
      <c r="AB3" s="55" t="n">
        <v>0.02772664658855561</v>
      </c>
      <c r="AC3" s="55" t="n">
        <v>0.03184371784113015</v>
      </c>
      <c r="AD3" s="55" t="n">
        <v>0.03330223806909207</v>
      </c>
      <c r="AE3" s="55" t="n">
        <v>0.04657684058752942</v>
      </c>
      <c r="AF3" s="55" t="n">
        <v>0.05004450591930092</v>
      </c>
      <c r="AG3" s="55" t="n">
        <v>0.04290902368088835</v>
      </c>
      <c r="AH3" s="55" t="n">
        <v>0.05576236185197368</v>
      </c>
      <c r="AI3" s="55" t="n">
        <v>0.05573477786740539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2026-09-07T12:32:31Z</dcterms:created>
  <dcterms:modified xsi:type="dcterms:W3CDTF">2026-09-07T12:32:32Z</dcterms:modified>
</cp:coreProperties>
</file>